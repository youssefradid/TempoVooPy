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TempoVooPy\TempoVooDataset\"/>
    </mc:Choice>
  </mc:AlternateContent>
  <bookViews>
    <workbookView xWindow="0" yWindow="0" windowWidth="19200" windowHeight="6930"/>
  </bookViews>
  <sheets>
    <sheet name="Models Metrics" sheetId="1" r:id="rId1"/>
  </sheets>
  <definedNames>
    <definedName name="_xlnm._FilterDatabase" localSheetId="0" hidden="1">'Models Metrics'!$N$1:$N$551</definedName>
  </definedNames>
  <calcPr calcId="162913" concurrentCalc="0"/>
</workbook>
</file>

<file path=xl/calcChain.xml><?xml version="1.0" encoding="utf-8"?>
<calcChain xmlns="http://schemas.openxmlformats.org/spreadsheetml/2006/main">
  <c r="G2" i="1" l="1"/>
  <c r="J2" i="1"/>
  <c r="G3" i="1"/>
  <c r="J3" i="1"/>
  <c r="G4" i="1"/>
  <c r="J4" i="1"/>
  <c r="G5" i="1"/>
  <c r="J5" i="1"/>
  <c r="G6" i="1"/>
  <c r="J6" i="1"/>
  <c r="G7" i="1"/>
  <c r="J7" i="1"/>
  <c r="G8" i="1"/>
  <c r="J8" i="1"/>
  <c r="G9" i="1"/>
  <c r="J9" i="1"/>
  <c r="G10" i="1"/>
  <c r="J10" i="1"/>
  <c r="G11" i="1"/>
  <c r="J11" i="1"/>
  <c r="G12" i="1"/>
  <c r="J12" i="1"/>
  <c r="G13" i="1"/>
  <c r="J13" i="1"/>
  <c r="G14" i="1"/>
  <c r="J14" i="1"/>
  <c r="G15" i="1"/>
  <c r="J15" i="1"/>
  <c r="G17" i="1"/>
  <c r="J17" i="1"/>
  <c r="G18" i="1"/>
  <c r="J18" i="1"/>
  <c r="G19" i="1"/>
  <c r="J19" i="1"/>
  <c r="G20" i="1"/>
  <c r="J20" i="1"/>
  <c r="G21" i="1"/>
  <c r="J21" i="1"/>
  <c r="G23" i="1"/>
  <c r="J23" i="1"/>
  <c r="G25" i="1"/>
  <c r="J25" i="1"/>
  <c r="G26" i="1"/>
  <c r="J26" i="1"/>
  <c r="G27" i="1"/>
  <c r="J27" i="1"/>
  <c r="G28" i="1"/>
  <c r="J28" i="1"/>
  <c r="G30" i="1"/>
  <c r="J30" i="1"/>
  <c r="G31" i="1"/>
  <c r="J31" i="1"/>
  <c r="G36" i="1"/>
  <c r="J36" i="1"/>
  <c r="G38" i="1"/>
  <c r="J38" i="1"/>
  <c r="G40" i="1"/>
  <c r="J40" i="1"/>
  <c r="G41" i="1"/>
  <c r="J41" i="1"/>
  <c r="G43" i="1"/>
  <c r="J43" i="1"/>
  <c r="G44" i="1"/>
  <c r="J44" i="1"/>
  <c r="G46" i="1"/>
  <c r="J46" i="1"/>
  <c r="G47" i="1"/>
  <c r="J47" i="1"/>
  <c r="G49" i="1"/>
  <c r="J49" i="1"/>
  <c r="G51" i="1"/>
  <c r="J51" i="1"/>
  <c r="G53" i="1"/>
  <c r="J53" i="1"/>
  <c r="G54" i="1"/>
  <c r="J54" i="1"/>
  <c r="G55" i="1"/>
  <c r="J55" i="1"/>
  <c r="G56" i="1"/>
  <c r="J56" i="1"/>
  <c r="G57" i="1"/>
  <c r="J57" i="1"/>
  <c r="G58" i="1"/>
  <c r="J58" i="1"/>
  <c r="G59" i="1"/>
  <c r="J59" i="1"/>
  <c r="G60" i="1"/>
  <c r="J60" i="1"/>
  <c r="G61" i="1"/>
  <c r="J61" i="1"/>
  <c r="G62" i="1"/>
  <c r="J62" i="1"/>
  <c r="G63" i="1"/>
  <c r="J63" i="1"/>
  <c r="G65" i="1"/>
  <c r="J65" i="1"/>
  <c r="G66" i="1"/>
  <c r="J66" i="1"/>
  <c r="G67" i="1"/>
  <c r="J67" i="1"/>
  <c r="G68" i="1"/>
  <c r="J68" i="1"/>
  <c r="G69" i="1"/>
  <c r="J69" i="1"/>
  <c r="G70" i="1"/>
  <c r="J70" i="1"/>
  <c r="G71" i="1"/>
  <c r="J71" i="1"/>
  <c r="G72" i="1"/>
  <c r="J72" i="1"/>
  <c r="G73" i="1"/>
  <c r="J73" i="1"/>
  <c r="G74" i="1"/>
  <c r="J74" i="1"/>
  <c r="G75" i="1"/>
  <c r="J75" i="1"/>
  <c r="G76" i="1"/>
  <c r="J76" i="1"/>
  <c r="G77" i="1"/>
  <c r="J77" i="1"/>
  <c r="G79" i="1"/>
  <c r="J79" i="1"/>
  <c r="G80" i="1"/>
  <c r="J80" i="1"/>
  <c r="G81" i="1"/>
  <c r="J81" i="1"/>
  <c r="G82" i="1"/>
  <c r="J82" i="1"/>
  <c r="G83" i="1"/>
  <c r="J83" i="1"/>
  <c r="G84" i="1"/>
  <c r="J84" i="1"/>
  <c r="G85" i="1"/>
  <c r="J85" i="1"/>
  <c r="G86" i="1"/>
  <c r="J86" i="1"/>
  <c r="G87" i="1"/>
  <c r="J87" i="1"/>
  <c r="G88" i="1"/>
  <c r="J88" i="1"/>
  <c r="G89" i="1"/>
  <c r="J89" i="1"/>
  <c r="G90" i="1"/>
  <c r="J90" i="1"/>
  <c r="G91" i="1"/>
  <c r="J91" i="1"/>
  <c r="G92" i="1"/>
  <c r="J92" i="1"/>
  <c r="G93" i="1"/>
  <c r="J93" i="1"/>
  <c r="G94" i="1"/>
  <c r="J94" i="1"/>
  <c r="G95" i="1"/>
  <c r="J95" i="1"/>
  <c r="G96" i="1"/>
  <c r="J96" i="1"/>
  <c r="G97" i="1"/>
  <c r="J97" i="1"/>
  <c r="G98" i="1"/>
  <c r="J98" i="1"/>
  <c r="G99" i="1"/>
  <c r="J99" i="1"/>
  <c r="G100" i="1"/>
  <c r="J100" i="1"/>
  <c r="G102" i="1"/>
  <c r="J102" i="1"/>
  <c r="G103" i="1"/>
  <c r="J103" i="1"/>
  <c r="G104" i="1"/>
  <c r="J104" i="1"/>
  <c r="G105" i="1"/>
  <c r="J105" i="1"/>
  <c r="G106" i="1"/>
  <c r="J106" i="1"/>
  <c r="G107" i="1"/>
  <c r="J107" i="1"/>
  <c r="G108" i="1"/>
  <c r="J108" i="1"/>
  <c r="G109" i="1"/>
  <c r="J109" i="1"/>
  <c r="G110" i="1"/>
  <c r="J110" i="1"/>
  <c r="G111" i="1"/>
  <c r="J111" i="1"/>
  <c r="G112" i="1"/>
  <c r="J112" i="1"/>
  <c r="G113" i="1"/>
  <c r="J113" i="1"/>
  <c r="G114" i="1"/>
  <c r="J114" i="1"/>
  <c r="G115" i="1"/>
  <c r="J115" i="1"/>
  <c r="G116" i="1"/>
  <c r="J116" i="1"/>
  <c r="G117" i="1"/>
  <c r="J117" i="1"/>
  <c r="G118" i="1"/>
  <c r="J118" i="1"/>
  <c r="G119" i="1"/>
  <c r="J119" i="1"/>
  <c r="G120" i="1"/>
  <c r="J120" i="1"/>
  <c r="G121" i="1"/>
  <c r="J121" i="1"/>
  <c r="G123" i="1"/>
  <c r="J123" i="1"/>
  <c r="G124" i="1"/>
  <c r="J124" i="1"/>
  <c r="G125" i="1"/>
  <c r="J125" i="1"/>
  <c r="G126" i="1"/>
  <c r="J126" i="1"/>
  <c r="G127" i="1"/>
  <c r="J127" i="1"/>
  <c r="G128" i="1"/>
  <c r="J128" i="1"/>
  <c r="G131" i="1"/>
  <c r="J131" i="1"/>
  <c r="G132" i="1"/>
  <c r="J132" i="1"/>
  <c r="G133" i="1"/>
  <c r="J133" i="1"/>
  <c r="G135" i="1"/>
  <c r="J135" i="1"/>
  <c r="G137" i="1"/>
  <c r="J137" i="1"/>
  <c r="G138" i="1"/>
  <c r="J138" i="1"/>
  <c r="G139" i="1"/>
  <c r="J139" i="1"/>
  <c r="G141" i="1"/>
  <c r="J141" i="1"/>
  <c r="G142" i="1"/>
  <c r="J142" i="1"/>
  <c r="G143" i="1"/>
  <c r="J143" i="1"/>
  <c r="G144" i="1"/>
  <c r="J144" i="1"/>
  <c r="G145" i="1"/>
  <c r="J145" i="1"/>
  <c r="G146" i="1"/>
  <c r="J146" i="1"/>
  <c r="G147" i="1"/>
  <c r="J147" i="1"/>
  <c r="G148" i="1"/>
  <c r="J148" i="1"/>
  <c r="G149" i="1"/>
  <c r="J149" i="1"/>
  <c r="G150" i="1"/>
  <c r="J150" i="1"/>
  <c r="G151" i="1"/>
  <c r="J151" i="1"/>
  <c r="G152" i="1"/>
  <c r="J152" i="1"/>
  <c r="G153" i="1"/>
  <c r="J153" i="1"/>
  <c r="G154" i="1"/>
  <c r="J154" i="1"/>
  <c r="G155" i="1"/>
  <c r="J155" i="1"/>
  <c r="G156" i="1"/>
  <c r="J156" i="1"/>
  <c r="G157" i="1"/>
  <c r="J157" i="1"/>
  <c r="G158" i="1"/>
  <c r="J158" i="1"/>
  <c r="G159" i="1"/>
  <c r="J159" i="1"/>
  <c r="G160" i="1"/>
  <c r="J160" i="1"/>
  <c r="G161" i="1"/>
  <c r="J161" i="1"/>
  <c r="G162" i="1"/>
  <c r="J162" i="1"/>
  <c r="G163" i="1"/>
  <c r="J163" i="1"/>
  <c r="G164" i="1"/>
  <c r="J164" i="1"/>
  <c r="G165" i="1"/>
  <c r="J165" i="1"/>
  <c r="G166" i="1"/>
  <c r="J166" i="1"/>
  <c r="G167" i="1"/>
  <c r="J167" i="1"/>
  <c r="G168" i="1"/>
  <c r="J168" i="1"/>
  <c r="G169" i="1"/>
  <c r="J169" i="1"/>
  <c r="G170" i="1"/>
  <c r="J170" i="1"/>
  <c r="G171" i="1"/>
  <c r="J171" i="1"/>
  <c r="G172" i="1"/>
  <c r="J172" i="1"/>
  <c r="G173" i="1"/>
  <c r="J173" i="1"/>
  <c r="G174" i="1"/>
  <c r="J174" i="1"/>
  <c r="G175" i="1"/>
  <c r="J175" i="1"/>
  <c r="G176" i="1"/>
  <c r="J176" i="1"/>
  <c r="G177" i="1"/>
  <c r="J177" i="1"/>
  <c r="G178" i="1"/>
  <c r="J178" i="1"/>
  <c r="G179" i="1"/>
  <c r="J179" i="1"/>
  <c r="G180" i="1"/>
  <c r="J180" i="1"/>
  <c r="G181" i="1"/>
  <c r="J181" i="1"/>
  <c r="G182" i="1"/>
  <c r="J182" i="1"/>
  <c r="G183" i="1"/>
  <c r="J183" i="1"/>
  <c r="G184" i="1"/>
  <c r="J184" i="1"/>
  <c r="G185" i="1"/>
  <c r="J185" i="1"/>
  <c r="G186" i="1"/>
  <c r="J186" i="1"/>
  <c r="G187" i="1"/>
  <c r="J187" i="1"/>
  <c r="G188" i="1"/>
  <c r="J188" i="1"/>
  <c r="G189" i="1"/>
  <c r="J189" i="1"/>
  <c r="G190" i="1"/>
  <c r="J190" i="1"/>
  <c r="G191" i="1"/>
  <c r="J191" i="1"/>
  <c r="G192" i="1"/>
  <c r="J192" i="1"/>
  <c r="G193" i="1"/>
  <c r="J193" i="1"/>
  <c r="G194" i="1"/>
  <c r="J194" i="1"/>
  <c r="G195" i="1"/>
  <c r="J195" i="1"/>
  <c r="G196" i="1"/>
  <c r="J196" i="1"/>
  <c r="G197" i="1"/>
  <c r="J197" i="1"/>
  <c r="G198" i="1"/>
  <c r="J198" i="1"/>
  <c r="G199" i="1"/>
  <c r="J199" i="1"/>
  <c r="G200" i="1"/>
  <c r="J200" i="1"/>
  <c r="G201" i="1"/>
  <c r="J201" i="1"/>
  <c r="G202" i="1"/>
  <c r="J202" i="1"/>
  <c r="G203" i="1"/>
  <c r="J203" i="1"/>
  <c r="G204" i="1"/>
  <c r="J204" i="1"/>
  <c r="G205" i="1"/>
  <c r="J205" i="1"/>
  <c r="G206" i="1"/>
  <c r="J206" i="1"/>
  <c r="G207" i="1"/>
  <c r="J207" i="1"/>
  <c r="G208" i="1"/>
  <c r="J208" i="1"/>
  <c r="G209" i="1"/>
  <c r="J209" i="1"/>
  <c r="G210" i="1"/>
  <c r="J210" i="1"/>
  <c r="G211" i="1"/>
  <c r="J211" i="1"/>
  <c r="G212" i="1"/>
  <c r="J212" i="1"/>
  <c r="G213" i="1"/>
  <c r="J213" i="1"/>
  <c r="G214" i="1"/>
  <c r="J214" i="1"/>
  <c r="G215" i="1"/>
  <c r="J215" i="1"/>
  <c r="G216" i="1"/>
  <c r="J216" i="1"/>
  <c r="G217" i="1"/>
  <c r="J217" i="1"/>
  <c r="G218" i="1"/>
  <c r="J218" i="1"/>
  <c r="G219" i="1"/>
  <c r="J219" i="1"/>
  <c r="G220" i="1"/>
  <c r="J220" i="1"/>
  <c r="G221" i="1"/>
  <c r="J221" i="1"/>
  <c r="G222" i="1"/>
  <c r="J222" i="1"/>
  <c r="G223" i="1"/>
  <c r="J223" i="1"/>
  <c r="G224" i="1"/>
  <c r="J224" i="1"/>
  <c r="G225" i="1"/>
  <c r="J225" i="1"/>
  <c r="G226" i="1"/>
  <c r="J226" i="1"/>
  <c r="G227" i="1"/>
  <c r="J227" i="1"/>
  <c r="G228" i="1"/>
  <c r="J228" i="1"/>
  <c r="G230" i="1"/>
  <c r="J230" i="1"/>
  <c r="G231" i="1"/>
  <c r="J231" i="1"/>
  <c r="G232" i="1"/>
  <c r="J232" i="1"/>
  <c r="G233" i="1"/>
  <c r="J233" i="1"/>
  <c r="G234" i="1"/>
  <c r="J234" i="1"/>
  <c r="G235" i="1"/>
  <c r="J235" i="1"/>
  <c r="G236" i="1"/>
  <c r="J236" i="1"/>
  <c r="G237" i="1"/>
  <c r="J237" i="1"/>
  <c r="G238" i="1"/>
  <c r="J238" i="1"/>
  <c r="G239" i="1"/>
  <c r="J239" i="1"/>
  <c r="G240" i="1"/>
  <c r="J240" i="1"/>
  <c r="G241" i="1"/>
  <c r="J241" i="1"/>
  <c r="G242" i="1"/>
  <c r="J242" i="1"/>
  <c r="G243" i="1"/>
  <c r="J243" i="1"/>
  <c r="G244" i="1"/>
  <c r="J244" i="1"/>
  <c r="G245" i="1"/>
  <c r="J245" i="1"/>
  <c r="G246" i="1"/>
  <c r="J246" i="1"/>
  <c r="G247" i="1"/>
  <c r="J247" i="1"/>
  <c r="G248" i="1"/>
  <c r="J248" i="1"/>
  <c r="G249" i="1"/>
  <c r="J249" i="1"/>
  <c r="G250" i="1"/>
  <c r="J250" i="1"/>
  <c r="G251" i="1"/>
  <c r="J251" i="1"/>
  <c r="G252" i="1"/>
  <c r="J252" i="1"/>
  <c r="G253" i="1"/>
  <c r="J253" i="1"/>
  <c r="G254" i="1"/>
  <c r="J254" i="1"/>
  <c r="G255" i="1"/>
  <c r="J255" i="1"/>
  <c r="G256" i="1"/>
  <c r="J256" i="1"/>
  <c r="G257" i="1"/>
  <c r="J257" i="1"/>
  <c r="G258" i="1"/>
  <c r="J258" i="1"/>
  <c r="G259" i="1"/>
  <c r="J259" i="1"/>
  <c r="G260" i="1"/>
  <c r="J260" i="1"/>
  <c r="G261" i="1"/>
  <c r="J261" i="1"/>
  <c r="G262" i="1"/>
  <c r="J262" i="1"/>
  <c r="G263" i="1"/>
  <c r="J263" i="1"/>
  <c r="G264" i="1"/>
  <c r="J264" i="1"/>
  <c r="G265" i="1"/>
  <c r="J265" i="1"/>
  <c r="G266" i="1"/>
  <c r="J266" i="1"/>
  <c r="G267" i="1"/>
  <c r="J267" i="1"/>
  <c r="G268" i="1"/>
  <c r="J268" i="1"/>
  <c r="G269" i="1"/>
  <c r="J269" i="1"/>
  <c r="G270" i="1"/>
  <c r="J270" i="1"/>
  <c r="G271" i="1"/>
  <c r="J271" i="1"/>
  <c r="G272" i="1"/>
  <c r="J272" i="1"/>
  <c r="G273" i="1"/>
  <c r="J273" i="1"/>
  <c r="G274" i="1"/>
  <c r="J274" i="1"/>
  <c r="G275" i="1"/>
  <c r="J275" i="1"/>
  <c r="G276" i="1"/>
  <c r="J276" i="1"/>
  <c r="G277" i="1"/>
  <c r="J277" i="1"/>
  <c r="G278" i="1"/>
  <c r="J278" i="1"/>
  <c r="G279" i="1"/>
  <c r="J279" i="1"/>
  <c r="G280" i="1"/>
  <c r="J280" i="1"/>
  <c r="G281" i="1"/>
  <c r="J281" i="1"/>
  <c r="G282" i="1"/>
  <c r="J282" i="1"/>
  <c r="G283" i="1"/>
  <c r="J283" i="1"/>
  <c r="G284" i="1"/>
  <c r="J284" i="1"/>
  <c r="G285" i="1"/>
  <c r="J285" i="1"/>
  <c r="G286" i="1"/>
  <c r="J286" i="1"/>
  <c r="G287" i="1"/>
  <c r="J287" i="1"/>
  <c r="G288" i="1"/>
  <c r="J288" i="1"/>
  <c r="G289" i="1"/>
  <c r="J289" i="1"/>
  <c r="G290" i="1"/>
  <c r="J290" i="1"/>
  <c r="G291" i="1"/>
  <c r="J291" i="1"/>
  <c r="G292" i="1"/>
  <c r="J292" i="1"/>
  <c r="G293" i="1"/>
  <c r="J293" i="1"/>
  <c r="G294" i="1"/>
  <c r="J294" i="1"/>
  <c r="G295" i="1"/>
  <c r="J295" i="1"/>
  <c r="G296" i="1"/>
  <c r="J296" i="1"/>
  <c r="G297" i="1"/>
  <c r="J297" i="1"/>
  <c r="G298" i="1"/>
  <c r="J298" i="1"/>
  <c r="G299" i="1"/>
  <c r="J299" i="1"/>
  <c r="G300" i="1"/>
  <c r="J300" i="1"/>
  <c r="G301" i="1"/>
  <c r="J301" i="1"/>
  <c r="G302" i="1"/>
  <c r="J302" i="1"/>
  <c r="G303" i="1"/>
  <c r="J303" i="1"/>
  <c r="G304" i="1"/>
  <c r="J304" i="1"/>
  <c r="G305" i="1"/>
  <c r="J305" i="1"/>
  <c r="G306" i="1"/>
  <c r="J306" i="1"/>
  <c r="G307" i="1"/>
  <c r="J307" i="1"/>
  <c r="G308" i="1"/>
  <c r="J308" i="1"/>
  <c r="G309" i="1"/>
  <c r="J309" i="1"/>
  <c r="G310" i="1"/>
  <c r="J310" i="1"/>
  <c r="G311" i="1"/>
  <c r="J311" i="1"/>
  <c r="G312" i="1"/>
  <c r="J312" i="1"/>
  <c r="G313" i="1"/>
  <c r="J313" i="1"/>
  <c r="G314" i="1"/>
  <c r="J314" i="1"/>
  <c r="G315" i="1"/>
  <c r="J315" i="1"/>
  <c r="G316" i="1"/>
  <c r="J316" i="1"/>
  <c r="G317" i="1"/>
  <c r="J317" i="1"/>
  <c r="G318" i="1"/>
  <c r="J318" i="1"/>
  <c r="G319" i="1"/>
  <c r="J319" i="1"/>
  <c r="G320" i="1"/>
  <c r="J320" i="1"/>
  <c r="G321" i="1"/>
  <c r="J321" i="1"/>
  <c r="G322" i="1"/>
  <c r="J322" i="1"/>
  <c r="G323" i="1"/>
  <c r="J323" i="1"/>
  <c r="G324" i="1"/>
  <c r="J324" i="1"/>
  <c r="G325" i="1"/>
  <c r="J325" i="1"/>
  <c r="G326" i="1"/>
  <c r="J326" i="1"/>
  <c r="G327" i="1"/>
  <c r="J327" i="1"/>
  <c r="G328" i="1"/>
  <c r="J328" i="1"/>
  <c r="G329" i="1"/>
  <c r="J329" i="1"/>
  <c r="G330" i="1"/>
  <c r="J330" i="1"/>
  <c r="G331" i="1"/>
  <c r="J331" i="1"/>
  <c r="G332" i="1"/>
  <c r="J332" i="1"/>
  <c r="G333" i="1"/>
  <c r="J333" i="1"/>
  <c r="G334" i="1"/>
  <c r="J334" i="1"/>
  <c r="G335" i="1"/>
  <c r="J335" i="1"/>
  <c r="G336" i="1"/>
  <c r="J336" i="1"/>
  <c r="G337" i="1"/>
  <c r="J337" i="1"/>
  <c r="G338" i="1"/>
  <c r="J338" i="1"/>
  <c r="G339" i="1"/>
  <c r="J339" i="1"/>
  <c r="G340" i="1"/>
  <c r="J340" i="1"/>
  <c r="G341" i="1"/>
  <c r="J341" i="1"/>
  <c r="G342" i="1"/>
  <c r="J342" i="1"/>
  <c r="G343" i="1"/>
  <c r="J343" i="1"/>
  <c r="G344" i="1"/>
  <c r="J344" i="1"/>
  <c r="G345" i="1"/>
  <c r="J345" i="1"/>
  <c r="G346" i="1"/>
  <c r="J346" i="1"/>
  <c r="G347" i="1"/>
  <c r="J347" i="1"/>
  <c r="G348" i="1"/>
  <c r="J348" i="1"/>
  <c r="G349" i="1"/>
  <c r="J349" i="1"/>
  <c r="G350" i="1"/>
  <c r="J350" i="1"/>
  <c r="G351" i="1"/>
  <c r="J351" i="1"/>
  <c r="G352" i="1"/>
  <c r="J352" i="1"/>
  <c r="G353" i="1"/>
  <c r="J353" i="1"/>
  <c r="G354" i="1"/>
  <c r="J354" i="1"/>
  <c r="G355" i="1"/>
  <c r="J355" i="1"/>
  <c r="G356" i="1"/>
  <c r="J356" i="1"/>
  <c r="G357" i="1"/>
  <c r="J357" i="1"/>
  <c r="G358" i="1"/>
  <c r="J358" i="1"/>
  <c r="G359" i="1"/>
  <c r="J359" i="1"/>
  <c r="G360" i="1"/>
  <c r="J360" i="1"/>
  <c r="G361" i="1"/>
  <c r="J361" i="1"/>
  <c r="G362" i="1"/>
  <c r="J362" i="1"/>
  <c r="G363" i="1"/>
  <c r="J363" i="1"/>
  <c r="G364" i="1"/>
  <c r="J364" i="1"/>
  <c r="G365" i="1"/>
  <c r="J365" i="1"/>
  <c r="G366" i="1"/>
  <c r="J366" i="1"/>
  <c r="G367" i="1"/>
  <c r="J367" i="1"/>
  <c r="G368" i="1"/>
  <c r="J368" i="1"/>
  <c r="G369" i="1"/>
  <c r="J369" i="1"/>
  <c r="G370" i="1"/>
  <c r="J370" i="1"/>
  <c r="G371" i="1"/>
  <c r="J371" i="1"/>
  <c r="G372" i="1"/>
  <c r="J372" i="1"/>
  <c r="G373" i="1"/>
  <c r="J373" i="1"/>
  <c r="G374" i="1"/>
  <c r="J374" i="1"/>
  <c r="G375" i="1"/>
  <c r="J375" i="1"/>
  <c r="G376" i="1"/>
  <c r="J376" i="1"/>
  <c r="G377" i="1"/>
  <c r="J377" i="1"/>
  <c r="G378" i="1"/>
  <c r="J378" i="1"/>
  <c r="G379" i="1"/>
  <c r="J379" i="1"/>
  <c r="G380" i="1"/>
  <c r="J380" i="1"/>
  <c r="G382" i="1"/>
  <c r="J382" i="1"/>
  <c r="G383" i="1"/>
  <c r="J383" i="1"/>
  <c r="G384" i="1"/>
  <c r="J384" i="1"/>
  <c r="G385" i="1"/>
  <c r="J385" i="1"/>
  <c r="G386" i="1"/>
  <c r="J386" i="1"/>
  <c r="G387" i="1"/>
  <c r="J387" i="1"/>
  <c r="G388" i="1"/>
  <c r="J388" i="1"/>
  <c r="G389" i="1"/>
  <c r="J389" i="1"/>
  <c r="G390" i="1"/>
  <c r="J390" i="1"/>
  <c r="G391" i="1"/>
  <c r="J391" i="1"/>
  <c r="G392" i="1"/>
  <c r="J392" i="1"/>
  <c r="G393" i="1"/>
  <c r="J393" i="1"/>
  <c r="G394" i="1"/>
  <c r="J394" i="1"/>
  <c r="G395" i="1"/>
  <c r="J395" i="1"/>
  <c r="G396" i="1"/>
  <c r="J396" i="1"/>
  <c r="G397" i="1"/>
  <c r="J397" i="1"/>
  <c r="G398" i="1"/>
  <c r="J398" i="1"/>
  <c r="G399" i="1"/>
  <c r="J399" i="1"/>
  <c r="G400" i="1"/>
  <c r="J400" i="1"/>
  <c r="G401" i="1"/>
  <c r="J401" i="1"/>
  <c r="G402" i="1"/>
  <c r="J402" i="1"/>
  <c r="G403" i="1"/>
  <c r="J403" i="1"/>
  <c r="G404" i="1"/>
  <c r="J404" i="1"/>
  <c r="G405" i="1"/>
  <c r="J405" i="1"/>
  <c r="G406" i="1"/>
  <c r="J406" i="1"/>
  <c r="G407" i="1"/>
  <c r="J407" i="1"/>
  <c r="G408" i="1"/>
  <c r="J408" i="1"/>
  <c r="G409" i="1"/>
  <c r="J409" i="1"/>
  <c r="G410" i="1"/>
  <c r="J410" i="1"/>
  <c r="G411" i="1"/>
  <c r="J411" i="1"/>
  <c r="G412" i="1"/>
  <c r="J412" i="1"/>
  <c r="G413" i="1"/>
  <c r="J413" i="1"/>
  <c r="G414" i="1"/>
  <c r="J414" i="1"/>
  <c r="G415" i="1"/>
  <c r="J415" i="1"/>
  <c r="G416" i="1"/>
  <c r="J416" i="1"/>
  <c r="G417" i="1"/>
  <c r="J417" i="1"/>
  <c r="G419" i="1"/>
  <c r="J419" i="1"/>
  <c r="G420" i="1"/>
  <c r="J420" i="1"/>
  <c r="G421" i="1"/>
  <c r="J421" i="1"/>
  <c r="G422" i="1"/>
  <c r="J422" i="1"/>
  <c r="G423" i="1"/>
  <c r="J423" i="1"/>
  <c r="G424" i="1"/>
  <c r="J424" i="1"/>
  <c r="G425" i="1"/>
  <c r="J425" i="1"/>
  <c r="G426" i="1"/>
  <c r="J426" i="1"/>
  <c r="G427" i="1"/>
  <c r="J427" i="1"/>
  <c r="G428" i="1"/>
  <c r="J428" i="1"/>
  <c r="G429" i="1"/>
  <c r="J429" i="1"/>
  <c r="G430" i="1"/>
  <c r="J430" i="1"/>
  <c r="G431" i="1"/>
  <c r="J431" i="1"/>
  <c r="G432" i="1"/>
  <c r="J432" i="1"/>
  <c r="G433" i="1"/>
  <c r="J433" i="1"/>
  <c r="G434" i="1"/>
  <c r="J434" i="1"/>
  <c r="G435" i="1"/>
  <c r="J435" i="1"/>
  <c r="G436" i="1"/>
  <c r="J436" i="1"/>
  <c r="G437" i="1"/>
  <c r="J437" i="1"/>
  <c r="G438" i="1"/>
  <c r="J438" i="1"/>
  <c r="G439" i="1"/>
  <c r="J439" i="1"/>
  <c r="G440" i="1"/>
  <c r="J440" i="1"/>
  <c r="G441" i="1"/>
  <c r="J441" i="1"/>
  <c r="G442" i="1"/>
  <c r="J442" i="1"/>
  <c r="G443" i="1"/>
  <c r="J443" i="1"/>
  <c r="G444" i="1"/>
  <c r="J444" i="1"/>
  <c r="G445" i="1"/>
  <c r="J445" i="1"/>
  <c r="G446" i="1"/>
  <c r="J446" i="1"/>
  <c r="G447" i="1"/>
  <c r="J447" i="1"/>
  <c r="G448" i="1"/>
  <c r="J448" i="1"/>
  <c r="G449" i="1"/>
  <c r="J449" i="1"/>
  <c r="G450" i="1"/>
  <c r="J450" i="1"/>
  <c r="G451" i="1"/>
  <c r="J451" i="1"/>
  <c r="G452" i="1"/>
  <c r="J452" i="1"/>
  <c r="G453" i="1"/>
  <c r="J453" i="1"/>
  <c r="G454" i="1"/>
  <c r="J454" i="1"/>
  <c r="G455" i="1"/>
  <c r="J455" i="1"/>
  <c r="G456" i="1"/>
  <c r="J456" i="1"/>
  <c r="G457" i="1"/>
  <c r="J457" i="1"/>
  <c r="G458" i="1"/>
  <c r="J458" i="1"/>
  <c r="G459" i="1"/>
  <c r="J459" i="1"/>
  <c r="G460" i="1"/>
  <c r="J460" i="1"/>
  <c r="G461" i="1"/>
  <c r="J461" i="1"/>
  <c r="G463" i="1"/>
  <c r="J463" i="1"/>
  <c r="G465" i="1"/>
  <c r="J465" i="1"/>
  <c r="G466" i="1"/>
  <c r="J466" i="1"/>
  <c r="G467" i="1"/>
  <c r="J467" i="1"/>
  <c r="G468" i="1"/>
  <c r="J468" i="1"/>
  <c r="G469" i="1"/>
  <c r="J469" i="1"/>
  <c r="G470" i="1"/>
  <c r="J470" i="1"/>
  <c r="G471" i="1"/>
  <c r="J471" i="1"/>
  <c r="G473" i="1"/>
  <c r="J473" i="1"/>
  <c r="G474" i="1"/>
  <c r="J474" i="1"/>
  <c r="G475" i="1"/>
  <c r="J475" i="1"/>
  <c r="G476" i="1"/>
  <c r="J476" i="1"/>
  <c r="G477" i="1"/>
  <c r="J477" i="1"/>
  <c r="G478" i="1"/>
  <c r="J478" i="1"/>
  <c r="G479" i="1"/>
  <c r="J479" i="1"/>
  <c r="G480" i="1"/>
  <c r="J480" i="1"/>
  <c r="G482" i="1"/>
  <c r="J482" i="1"/>
  <c r="G483" i="1"/>
  <c r="J483" i="1"/>
  <c r="G484" i="1"/>
  <c r="J484" i="1"/>
  <c r="G485" i="1"/>
  <c r="J485" i="1"/>
  <c r="G486" i="1"/>
  <c r="J486" i="1"/>
  <c r="G487" i="1"/>
  <c r="J487" i="1"/>
  <c r="G488" i="1"/>
  <c r="J488" i="1"/>
  <c r="G489" i="1"/>
  <c r="J489" i="1"/>
  <c r="G491" i="1"/>
  <c r="J491" i="1"/>
  <c r="G492" i="1"/>
  <c r="J492" i="1"/>
  <c r="G493" i="1"/>
  <c r="J493" i="1"/>
  <c r="G494" i="1"/>
  <c r="J494" i="1"/>
  <c r="G495" i="1"/>
  <c r="J495" i="1"/>
  <c r="G496" i="1"/>
  <c r="J496" i="1"/>
  <c r="G497" i="1"/>
  <c r="J497" i="1"/>
  <c r="G499" i="1"/>
  <c r="J499" i="1"/>
  <c r="G500" i="1"/>
  <c r="J500" i="1"/>
  <c r="G501" i="1"/>
  <c r="J501" i="1"/>
  <c r="G502" i="1"/>
  <c r="J502" i="1"/>
  <c r="G503" i="1"/>
  <c r="J503" i="1"/>
  <c r="G504" i="1"/>
  <c r="J504" i="1"/>
  <c r="G505" i="1"/>
  <c r="J505" i="1"/>
  <c r="G506" i="1"/>
  <c r="J506" i="1"/>
  <c r="G507" i="1"/>
  <c r="J507" i="1"/>
  <c r="G508" i="1"/>
  <c r="J508" i="1"/>
  <c r="G509" i="1"/>
  <c r="J509" i="1"/>
  <c r="G510" i="1"/>
  <c r="J510" i="1"/>
  <c r="G511" i="1"/>
  <c r="J511" i="1"/>
  <c r="G512" i="1"/>
  <c r="J512" i="1"/>
  <c r="G513" i="1"/>
  <c r="J513" i="1"/>
  <c r="G514" i="1"/>
  <c r="J514" i="1"/>
  <c r="G515" i="1"/>
  <c r="J515" i="1"/>
  <c r="G516" i="1"/>
  <c r="J516" i="1"/>
  <c r="G517" i="1"/>
  <c r="J517" i="1"/>
  <c r="G518" i="1"/>
  <c r="J518" i="1"/>
  <c r="G519" i="1"/>
  <c r="J519" i="1"/>
  <c r="G520" i="1"/>
  <c r="J520" i="1"/>
  <c r="G521" i="1"/>
  <c r="J521" i="1"/>
  <c r="G522" i="1"/>
  <c r="J522" i="1"/>
  <c r="G523" i="1"/>
  <c r="J523" i="1"/>
  <c r="G525" i="1"/>
  <c r="J525" i="1"/>
  <c r="G526" i="1"/>
  <c r="J526" i="1"/>
  <c r="G527" i="1"/>
  <c r="J527" i="1"/>
  <c r="G528" i="1"/>
  <c r="J528" i="1"/>
  <c r="G529" i="1"/>
  <c r="J529" i="1"/>
  <c r="G530" i="1"/>
  <c r="J530" i="1"/>
  <c r="G531" i="1"/>
  <c r="J531" i="1"/>
  <c r="G532" i="1"/>
  <c r="J532" i="1"/>
  <c r="G533" i="1"/>
  <c r="J533" i="1"/>
  <c r="G534" i="1"/>
  <c r="J534" i="1"/>
  <c r="G535" i="1"/>
  <c r="J535" i="1"/>
  <c r="G536" i="1"/>
  <c r="J536" i="1"/>
  <c r="G537" i="1"/>
  <c r="J537" i="1"/>
  <c r="G538" i="1"/>
  <c r="J538" i="1"/>
  <c r="G539" i="1"/>
  <c r="J539" i="1"/>
  <c r="G540" i="1"/>
  <c r="J540" i="1"/>
  <c r="G541" i="1"/>
  <c r="J541" i="1"/>
  <c r="G542" i="1"/>
  <c r="J542" i="1"/>
  <c r="G543" i="1"/>
  <c r="J543" i="1"/>
  <c r="G544" i="1"/>
  <c r="J544" i="1"/>
  <c r="G545" i="1"/>
  <c r="J545" i="1"/>
  <c r="G546" i="1"/>
  <c r="J546" i="1"/>
  <c r="G547" i="1"/>
  <c r="J547" i="1"/>
  <c r="G548" i="1"/>
  <c r="J548" i="1"/>
  <c r="G549" i="1"/>
  <c r="J549" i="1"/>
  <c r="G550" i="1"/>
  <c r="J550" i="1"/>
  <c r="G551" i="1"/>
  <c r="J551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7" i="1"/>
  <c r="K18" i="1"/>
  <c r="K19" i="1"/>
  <c r="K20" i="1"/>
  <c r="K21" i="1"/>
  <c r="K23" i="1"/>
  <c r="K25" i="1"/>
  <c r="K26" i="1"/>
  <c r="K27" i="1"/>
  <c r="K28" i="1"/>
  <c r="K30" i="1"/>
  <c r="K31" i="1"/>
  <c r="K36" i="1"/>
  <c r="K38" i="1"/>
  <c r="K40" i="1"/>
  <c r="K41" i="1"/>
  <c r="K43" i="1"/>
  <c r="K44" i="1"/>
  <c r="K46" i="1"/>
  <c r="K47" i="1"/>
  <c r="K49" i="1"/>
  <c r="K51" i="1"/>
  <c r="K53" i="1"/>
  <c r="K54" i="1"/>
  <c r="K55" i="1"/>
  <c r="K56" i="1"/>
  <c r="K57" i="1"/>
  <c r="K58" i="1"/>
  <c r="K59" i="1"/>
  <c r="K60" i="1"/>
  <c r="K61" i="1"/>
  <c r="K62" i="1"/>
  <c r="K63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3" i="1"/>
  <c r="K124" i="1"/>
  <c r="K125" i="1"/>
  <c r="K126" i="1"/>
  <c r="K127" i="1"/>
  <c r="K128" i="1"/>
  <c r="K131" i="1"/>
  <c r="K132" i="1"/>
  <c r="K133" i="1"/>
  <c r="K135" i="1"/>
  <c r="K137" i="1"/>
  <c r="K138" i="1"/>
  <c r="K139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3" i="1"/>
  <c r="K465" i="1"/>
  <c r="K466" i="1"/>
  <c r="K467" i="1"/>
  <c r="K468" i="1"/>
  <c r="K469" i="1"/>
  <c r="K470" i="1"/>
  <c r="K471" i="1"/>
  <c r="K473" i="1"/>
  <c r="K474" i="1"/>
  <c r="K475" i="1"/>
  <c r="K476" i="1"/>
  <c r="K477" i="1"/>
  <c r="K478" i="1"/>
  <c r="K479" i="1"/>
  <c r="K480" i="1"/>
  <c r="K482" i="1"/>
  <c r="K483" i="1"/>
  <c r="K484" i="1"/>
  <c r="K485" i="1"/>
  <c r="K486" i="1"/>
  <c r="K487" i="1"/>
  <c r="K488" i="1"/>
  <c r="K489" i="1"/>
  <c r="K491" i="1"/>
  <c r="K492" i="1"/>
  <c r="K493" i="1"/>
  <c r="K494" i="1"/>
  <c r="K495" i="1"/>
  <c r="K496" i="1"/>
  <c r="K497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G50" i="1"/>
  <c r="G32" i="1"/>
  <c r="G22" i="1"/>
  <c r="G16" i="1"/>
  <c r="G29" i="1"/>
  <c r="G33" i="1"/>
  <c r="G35" i="1"/>
  <c r="G37" i="1"/>
  <c r="G39" i="1"/>
  <c r="G42" i="1"/>
  <c r="G45" i="1"/>
  <c r="G48" i="1"/>
  <c r="G52" i="1"/>
  <c r="G64" i="1"/>
  <c r="G78" i="1"/>
  <c r="G101" i="1"/>
  <c r="G129" i="1"/>
  <c r="G130" i="1"/>
  <c r="G136" i="1"/>
  <c r="G140" i="1"/>
  <c r="G418" i="1"/>
  <c r="G490" i="1"/>
  <c r="G498" i="1"/>
  <c r="L313" i="1"/>
  <c r="M313" i="1"/>
  <c r="L502" i="1"/>
  <c r="M502" i="1"/>
  <c r="L373" i="1"/>
  <c r="M373" i="1"/>
  <c r="L378" i="1"/>
  <c r="M378" i="1"/>
  <c r="G524" i="1"/>
  <c r="G481" i="1"/>
  <c r="G472" i="1"/>
  <c r="G464" i="1"/>
  <c r="G462" i="1"/>
  <c r="G381" i="1"/>
  <c r="G229" i="1"/>
  <c r="G134" i="1"/>
  <c r="G122" i="1"/>
  <c r="G34" i="1"/>
  <c r="G24" i="1"/>
  <c r="M390" i="1"/>
  <c r="L390" i="1"/>
  <c r="M398" i="1"/>
  <c r="L398" i="1"/>
  <c r="M73" i="1"/>
  <c r="L73" i="1"/>
  <c r="M351" i="1"/>
  <c r="L351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7" i="1"/>
  <c r="M18" i="1"/>
  <c r="M19" i="1"/>
  <c r="M20" i="1"/>
  <c r="M21" i="1"/>
  <c r="M23" i="1"/>
  <c r="M25" i="1"/>
  <c r="M26" i="1"/>
  <c r="M27" i="1"/>
  <c r="M28" i="1"/>
  <c r="M30" i="1"/>
  <c r="M31" i="1"/>
  <c r="M36" i="1"/>
  <c r="M38" i="1"/>
  <c r="M40" i="1"/>
  <c r="M41" i="1"/>
  <c r="M43" i="1"/>
  <c r="M44" i="1"/>
  <c r="M46" i="1"/>
  <c r="M47" i="1"/>
  <c r="M49" i="1"/>
  <c r="M51" i="1"/>
  <c r="M53" i="1"/>
  <c r="M54" i="1"/>
  <c r="M55" i="1"/>
  <c r="M56" i="1"/>
  <c r="M57" i="1"/>
  <c r="M58" i="1"/>
  <c r="M59" i="1"/>
  <c r="M60" i="1"/>
  <c r="M61" i="1"/>
  <c r="M62" i="1"/>
  <c r="M63" i="1"/>
  <c r="M65" i="1"/>
  <c r="M66" i="1"/>
  <c r="M67" i="1"/>
  <c r="M68" i="1"/>
  <c r="M69" i="1"/>
  <c r="M70" i="1"/>
  <c r="M71" i="1"/>
  <c r="M72" i="1"/>
  <c r="M74" i="1"/>
  <c r="M75" i="1"/>
  <c r="M76" i="1"/>
  <c r="M77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3" i="1"/>
  <c r="M124" i="1"/>
  <c r="M125" i="1"/>
  <c r="M126" i="1"/>
  <c r="M127" i="1"/>
  <c r="M128" i="1"/>
  <c r="M131" i="1"/>
  <c r="M132" i="1"/>
  <c r="M133" i="1"/>
  <c r="M135" i="1"/>
  <c r="M137" i="1"/>
  <c r="M138" i="1"/>
  <c r="M139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4" i="1"/>
  <c r="M375" i="1"/>
  <c r="M376" i="1"/>
  <c r="M377" i="1"/>
  <c r="M379" i="1"/>
  <c r="M380" i="1"/>
  <c r="M382" i="1"/>
  <c r="M383" i="1"/>
  <c r="M384" i="1"/>
  <c r="M385" i="1"/>
  <c r="M386" i="1"/>
  <c r="M387" i="1"/>
  <c r="M388" i="1"/>
  <c r="M389" i="1"/>
  <c r="M391" i="1"/>
  <c r="M392" i="1"/>
  <c r="M393" i="1"/>
  <c r="M394" i="1"/>
  <c r="M395" i="1"/>
  <c r="M396" i="1"/>
  <c r="M397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3" i="1"/>
  <c r="M465" i="1"/>
  <c r="M466" i="1"/>
  <c r="M467" i="1"/>
  <c r="M468" i="1"/>
  <c r="M469" i="1"/>
  <c r="M470" i="1"/>
  <c r="M471" i="1"/>
  <c r="M473" i="1"/>
  <c r="M474" i="1"/>
  <c r="M475" i="1"/>
  <c r="M476" i="1"/>
  <c r="M477" i="1"/>
  <c r="M478" i="1"/>
  <c r="M479" i="1"/>
  <c r="M480" i="1"/>
  <c r="M482" i="1"/>
  <c r="M483" i="1"/>
  <c r="M484" i="1"/>
  <c r="M485" i="1"/>
  <c r="M486" i="1"/>
  <c r="M487" i="1"/>
  <c r="M488" i="1"/>
  <c r="M489" i="1"/>
  <c r="M491" i="1"/>
  <c r="M492" i="1"/>
  <c r="M493" i="1"/>
  <c r="M494" i="1"/>
  <c r="M495" i="1"/>
  <c r="M496" i="1"/>
  <c r="M497" i="1"/>
  <c r="M499" i="1"/>
  <c r="M500" i="1"/>
  <c r="M501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R1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7" i="1"/>
  <c r="L18" i="1"/>
  <c r="L19" i="1"/>
  <c r="L20" i="1"/>
  <c r="L21" i="1"/>
  <c r="L23" i="1"/>
  <c r="L25" i="1"/>
  <c r="L26" i="1"/>
  <c r="L27" i="1"/>
  <c r="L28" i="1"/>
  <c r="L30" i="1"/>
  <c r="L31" i="1"/>
  <c r="L36" i="1"/>
  <c r="L38" i="1"/>
  <c r="L40" i="1"/>
  <c r="L41" i="1"/>
  <c r="L43" i="1"/>
  <c r="L44" i="1"/>
  <c r="L46" i="1"/>
  <c r="L47" i="1"/>
  <c r="L49" i="1"/>
  <c r="L51" i="1"/>
  <c r="L53" i="1"/>
  <c r="L54" i="1"/>
  <c r="L55" i="1"/>
  <c r="L56" i="1"/>
  <c r="L57" i="1"/>
  <c r="L58" i="1"/>
  <c r="L59" i="1"/>
  <c r="L60" i="1"/>
  <c r="L61" i="1"/>
  <c r="L62" i="1"/>
  <c r="L63" i="1"/>
  <c r="L65" i="1"/>
  <c r="L66" i="1"/>
  <c r="L67" i="1"/>
  <c r="L68" i="1"/>
  <c r="L69" i="1"/>
  <c r="L70" i="1"/>
  <c r="L71" i="1"/>
  <c r="L72" i="1"/>
  <c r="L74" i="1"/>
  <c r="L75" i="1"/>
  <c r="L76" i="1"/>
  <c r="L77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3" i="1"/>
  <c r="L124" i="1"/>
  <c r="L125" i="1"/>
  <c r="L126" i="1"/>
  <c r="L127" i="1"/>
  <c r="L128" i="1"/>
  <c r="L131" i="1"/>
  <c r="L132" i="1"/>
  <c r="L133" i="1"/>
  <c r="L135" i="1"/>
  <c r="L137" i="1"/>
  <c r="L138" i="1"/>
  <c r="L139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4" i="1"/>
  <c r="L375" i="1"/>
  <c r="L376" i="1"/>
  <c r="L377" i="1"/>
  <c r="L379" i="1"/>
  <c r="L380" i="1"/>
  <c r="L382" i="1"/>
  <c r="L383" i="1"/>
  <c r="L384" i="1"/>
  <c r="L385" i="1"/>
  <c r="L386" i="1"/>
  <c r="L387" i="1"/>
  <c r="L388" i="1"/>
  <c r="L389" i="1"/>
  <c r="L391" i="1"/>
  <c r="L392" i="1"/>
  <c r="L393" i="1"/>
  <c r="L394" i="1"/>
  <c r="L395" i="1"/>
  <c r="L396" i="1"/>
  <c r="L397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3" i="1"/>
  <c r="L465" i="1"/>
  <c r="L466" i="1"/>
  <c r="L467" i="1"/>
  <c r="L468" i="1"/>
  <c r="L469" i="1"/>
  <c r="L470" i="1"/>
  <c r="L471" i="1"/>
  <c r="L473" i="1"/>
  <c r="L474" i="1"/>
  <c r="L475" i="1"/>
  <c r="L476" i="1"/>
  <c r="L477" i="1"/>
  <c r="L478" i="1"/>
  <c r="L479" i="1"/>
  <c r="L480" i="1"/>
  <c r="L482" i="1"/>
  <c r="L483" i="1"/>
  <c r="L484" i="1"/>
  <c r="L485" i="1"/>
  <c r="L486" i="1"/>
  <c r="L487" i="1"/>
  <c r="L488" i="1"/>
  <c r="L489" i="1"/>
  <c r="L491" i="1"/>
  <c r="L492" i="1"/>
  <c r="L493" i="1"/>
  <c r="L494" i="1"/>
  <c r="L495" i="1"/>
  <c r="L496" i="1"/>
  <c r="L497" i="1"/>
  <c r="L499" i="1"/>
  <c r="L500" i="1"/>
  <c r="L501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R9" i="1"/>
  <c r="R19" i="1"/>
  <c r="R18" i="1"/>
  <c r="R12" i="1"/>
  <c r="R11" i="1"/>
  <c r="R17" i="1"/>
  <c r="R10" i="1"/>
  <c r="R15" i="1"/>
  <c r="R8" i="1"/>
</calcChain>
</file>

<file path=xl/sharedStrings.xml><?xml version="1.0" encoding="utf-8"?>
<sst xmlns="http://schemas.openxmlformats.org/spreadsheetml/2006/main" count="610" uniqueCount="25">
  <si>
    <t>Number</t>
  </si>
  <si>
    <t>Age</t>
  </si>
  <si>
    <t>Weight</t>
  </si>
  <si>
    <t>Height</t>
  </si>
  <si>
    <t>Gender</t>
  </si>
  <si>
    <t>Jump_Flight_Time_Android</t>
  </si>
  <si>
    <t>Jump_Flight_Time_Bioplux</t>
  </si>
  <si>
    <t>Predicted_LSQ</t>
  </si>
  <si>
    <t>Predicted_MLP</t>
  </si>
  <si>
    <t>Male</t>
  </si>
  <si>
    <t>Female</t>
  </si>
  <si>
    <t>Linear (LSQ)</t>
  </si>
  <si>
    <t>MLP</t>
  </si>
  <si>
    <t>Mean Error  MLP ( %):</t>
  </si>
  <si>
    <t>Mean Error LSQ ( %):</t>
  </si>
  <si>
    <t>Mean Absolute Error LSQ ( %):</t>
  </si>
  <si>
    <t>Mean Absolute Error MLP ( %):</t>
  </si>
  <si>
    <t>Mean Absolute Error:</t>
  </si>
  <si>
    <t>Mean Error:</t>
  </si>
  <si>
    <t>Standard Deviation of Absolute Error:</t>
  </si>
  <si>
    <t>Maximum Error:</t>
  </si>
  <si>
    <t>Minimum Error:</t>
  </si>
  <si>
    <t>Comment</t>
  </si>
  <si>
    <t>Outlier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</si>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</sst>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name val="Calibri"/>
      <family val="2"/>
    </font>
    <font>
      <sz val="11"/>
      <name val="Calibri"/>
      <family val="2"/>
      <scheme val="minor"/>
    </font>
    <font>
      <sz val="12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3" borderId="1" xfId="0" applyFont="1" applyFill="1" applyBorder="1" applyAlignment="1">
      <alignment horizontal="center" vertical="top"/>
    </xf>
    <xf numFmtId="0" fontId="0" fillId="3" borderId="0" xfId="0" applyFill="1"/>
    <xf numFmtId="0" fontId="2" fillId="3" borderId="1" xfId="0" applyFont="1" applyFill="1" applyBorder="1"/>
    <xf numFmtId="0" fontId="2" fillId="4" borderId="1" xfId="0" applyFont="1" applyFill="1" applyBorder="1"/>
    <xf numFmtId="0" fontId="0" fillId="4" borderId="0" xfId="0" applyFill="1"/>
    <xf numFmtId="0" fontId="5" fillId="0" borderId="0" xfId="0" applyFont="1" applyFill="1" applyAlignment="1"/>
    <xf numFmtId="0" fontId="4" fillId="2" borderId="2" xfId="0" applyFont="1" applyFill="1" applyBorder="1"/>
    <xf numFmtId="10" fontId="5" fillId="2" borderId="3" xfId="0" applyNumberFormat="1" applyFont="1" applyFill="1" applyBorder="1"/>
    <xf numFmtId="10" fontId="6" fillId="2" borderId="3" xfId="0" applyNumberFormat="1" applyFont="1" applyFill="1" applyBorder="1"/>
    <xf numFmtId="0" fontId="4" fillId="2" borderId="4" xfId="0" applyFont="1" applyFill="1" applyBorder="1"/>
    <xf numFmtId="10" fontId="5" fillId="2" borderId="5" xfId="0" applyNumberFormat="1" applyFont="1" applyFill="1" applyBorder="1"/>
    <xf numFmtId="0" fontId="0" fillId="5" borderId="0" xfId="0" applyFill="1"/>
    <xf numFmtId="0" fontId="0" fillId="0" borderId="0" xfId="0" applyFill="1"/>
    <xf numFmtId="0" fontId="0" fillId="6" borderId="0" xfId="0" applyFill="1"/>
    <xf numFmtId="0" fontId="2" fillId="0" borderId="0" xfId="0" applyFont="1"/>
    <xf numFmtId="0" fontId="0" fillId="0" borderId="0" xfId="0" applyBorder="1"/>
    <xf numFmtId="0" fontId="0" fillId="4" borderId="0" xfId="0" applyFill="1" applyBorder="1"/>
    <xf numFmtId="0" fontId="0" fillId="3" borderId="0" xfId="0" applyFill="1" applyBorder="1"/>
    <xf numFmtId="0" fontId="0" fillId="0" borderId="0" xfId="0" applyFill="1" applyBorder="1"/>
    <xf numFmtId="0" fontId="1" fillId="0" borderId="1" xfId="0" applyFont="1" applyFill="1" applyBorder="1" applyAlignment="1">
      <alignment horizontal="center" vertical="top"/>
    </xf>
    <xf numFmtId="0" fontId="0" fillId="7" borderId="0" xfId="0" applyFill="1"/>
    <xf numFmtId="0" fontId="4" fillId="0" borderId="0" xfId="0" applyFont="1" applyFill="1" applyBorder="1"/>
    <xf numFmtId="0" fontId="2" fillId="7" borderId="1" xfId="0" applyFont="1" applyFill="1" applyBorder="1"/>
    <xf numFmtId="0" fontId="4" fillId="2" borderId="6" xfId="0" applyFont="1" applyFill="1" applyBorder="1"/>
    <xf numFmtId="10" fontId="5" fillId="2" borderId="7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51"/>
  <sheetViews>
    <sheetView tabSelected="1" topLeftCell="G1" workbookViewId="0">
      <selection activeCell="R9" sqref="R9"/>
    </sheetView>
  </sheetViews>
  <sheetFormatPr defaultRowHeight="14.5" x14ac:dyDescent="0.35"/>
  <cols>
    <col min="5" max="5" width="11.1796875" customWidth="1"/>
    <col min="6" max="6" width="24.08984375" customWidth="1"/>
    <col min="7" max="7" width="25.81640625" style="14" customWidth="1"/>
    <col min="8" max="8" width="18.6328125" customWidth="1"/>
    <col min="9" max="9" width="18.36328125" customWidth="1"/>
    <col min="10" max="10" width="24" style="6" customWidth="1"/>
    <col min="11" max="11" width="21.26953125" style="3" customWidth="1"/>
    <col min="12" max="12" width="28.26953125" style="6" customWidth="1"/>
    <col min="13" max="13" width="27.7265625" style="3" customWidth="1"/>
    <col min="14" max="14" width="16.54296875" style="22" customWidth="1"/>
    <col min="15" max="15" width="14.1796875" customWidth="1"/>
    <col min="17" max="17" width="36" customWidth="1"/>
    <col min="23" max="23" width="8.7265625" customWidth="1"/>
    <col min="26" max="26" width="8.7265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1" t="s">
        <v>6</v>
      </c>
      <c r="H1" s="16" t="s">
        <v>7</v>
      </c>
      <c r="I1" s="16" t="s">
        <v>8</v>
      </c>
      <c r="J1" s="5" t="s">
        <v>14</v>
      </c>
      <c r="K1" s="2" t="s">
        <v>13</v>
      </c>
      <c r="L1" s="5" t="s">
        <v>15</v>
      </c>
      <c r="M1" s="4" t="s">
        <v>16</v>
      </c>
      <c r="N1" s="24" t="s">
        <v>22</v>
      </c>
    </row>
    <row r="2" spans="1:18" x14ac:dyDescent="0.35">
      <c r="A2">
        <v>1</v>
      </c>
      <c r="B2">
        <v>31</v>
      </c>
      <c r="C2">
        <v>70</v>
      </c>
      <c r="D2">
        <v>175</v>
      </c>
      <c r="E2" t="s">
        <v>9</v>
      </c>
      <c r="F2">
        <v>429</v>
      </c>
      <c r="G2">
        <f>1264-809</f>
        <v>455</v>
      </c>
      <c r="H2">
        <v>396.10462126772399</v>
      </c>
      <c r="I2">
        <v>399.76657136014802</v>
      </c>
      <c r="J2" s="6">
        <f>(H2-G2)/G2</f>
        <v>-0.12944039281818903</v>
      </c>
      <c r="K2" s="3">
        <f>(I2-G2)/G2</f>
        <v>-0.12139215085681754</v>
      </c>
      <c r="L2" s="6">
        <f>ABS(J2)</f>
        <v>0.12944039281818903</v>
      </c>
      <c r="M2" s="3">
        <f>ABS(K2)</f>
        <v>0.12139215085681754</v>
      </c>
      <c r="O2" s="17"/>
      <c r="P2" s="17"/>
    </row>
    <row r="3" spans="1:18" x14ac:dyDescent="0.35">
      <c r="A3">
        <v>2</v>
      </c>
      <c r="B3">
        <v>31</v>
      </c>
      <c r="C3">
        <v>70</v>
      </c>
      <c r="D3">
        <v>175</v>
      </c>
      <c r="E3" t="s">
        <v>9</v>
      </c>
      <c r="F3">
        <v>429</v>
      </c>
      <c r="G3">
        <f>1264-822</f>
        <v>442</v>
      </c>
      <c r="H3">
        <v>396.10462126772399</v>
      </c>
      <c r="I3">
        <v>399.76657136014802</v>
      </c>
      <c r="J3" s="6">
        <f>(H3-G3)/G3</f>
        <v>-0.10383569848931225</v>
      </c>
      <c r="K3" s="3">
        <f>(I3-G3)/G3</f>
        <v>-9.5550743529076873E-2</v>
      </c>
      <c r="L3" s="6">
        <f>ABS(J3)</f>
        <v>0.10383569848931225</v>
      </c>
      <c r="M3" s="3">
        <f>ABS(K3)</f>
        <v>9.5550743529076873E-2</v>
      </c>
    </row>
    <row r="4" spans="1:18" x14ac:dyDescent="0.35">
      <c r="A4">
        <v>3</v>
      </c>
      <c r="B4">
        <v>31</v>
      </c>
      <c r="C4">
        <v>70</v>
      </c>
      <c r="D4">
        <v>175</v>
      </c>
      <c r="E4" t="s">
        <v>9</v>
      </c>
      <c r="F4">
        <v>421</v>
      </c>
      <c r="G4">
        <f>2323-1940</f>
        <v>383</v>
      </c>
      <c r="H4">
        <v>392.702459977064</v>
      </c>
      <c r="I4">
        <v>394.02187212371501</v>
      </c>
      <c r="J4" s="6">
        <f>(H4-G4)/G4</f>
        <v>2.5332793673796331E-2</v>
      </c>
      <c r="K4" s="3">
        <f>(I4-G4)/G4</f>
        <v>2.8777734004477841E-2</v>
      </c>
      <c r="L4" s="6">
        <f>ABS(J4)</f>
        <v>2.5332793673796331E-2</v>
      </c>
      <c r="M4" s="3">
        <f>ABS(K4)</f>
        <v>2.8777734004477841E-2</v>
      </c>
    </row>
    <row r="5" spans="1:18" x14ac:dyDescent="0.35">
      <c r="A5">
        <v>4</v>
      </c>
      <c r="B5">
        <v>31</v>
      </c>
      <c r="C5">
        <v>70</v>
      </c>
      <c r="D5">
        <v>175</v>
      </c>
      <c r="E5" t="s">
        <v>9</v>
      </c>
      <c r="F5">
        <v>420</v>
      </c>
      <c r="G5">
        <f>481-84</f>
        <v>397</v>
      </c>
      <c r="H5">
        <v>392.27718981573202</v>
      </c>
      <c r="I5">
        <v>393.38721622730401</v>
      </c>
      <c r="J5" s="6">
        <f>(H5-G5)/G5</f>
        <v>-1.1896247315536486E-2</v>
      </c>
      <c r="K5" s="3">
        <f>(I5-G5)/G5</f>
        <v>-9.1002110143475843E-3</v>
      </c>
      <c r="L5" s="6">
        <f>ABS(J5)</f>
        <v>1.1896247315536486E-2</v>
      </c>
      <c r="M5" s="3">
        <f>ABS(K5)</f>
        <v>9.1002110143475843E-3</v>
      </c>
    </row>
    <row r="6" spans="1:18" ht="15" thickBot="1" x14ac:dyDescent="0.4">
      <c r="A6">
        <v>5</v>
      </c>
      <c r="B6">
        <v>31</v>
      </c>
      <c r="C6">
        <v>70</v>
      </c>
      <c r="D6">
        <v>175</v>
      </c>
      <c r="E6" t="s">
        <v>9</v>
      </c>
      <c r="F6">
        <v>403</v>
      </c>
      <c r="G6">
        <f>2181-1797</f>
        <v>384</v>
      </c>
      <c r="H6">
        <v>385.04759707308102</v>
      </c>
      <c r="I6">
        <v>385.04759472652898</v>
      </c>
      <c r="J6" s="6">
        <f>(H6-G6)/G6</f>
        <v>2.7281173778151611E-3</v>
      </c>
      <c r="K6" s="3">
        <f>(I6-G6)/G6</f>
        <v>2.7281112670025642E-3</v>
      </c>
      <c r="L6" s="6">
        <f>ABS(J6)</f>
        <v>2.7281173778151611E-3</v>
      </c>
      <c r="M6" s="3">
        <f>ABS(K6)</f>
        <v>2.7281112670025642E-3</v>
      </c>
    </row>
    <row r="7" spans="1:18" ht="15.5" x14ac:dyDescent="0.35">
      <c r="A7">
        <v>6</v>
      </c>
      <c r="B7">
        <v>31</v>
      </c>
      <c r="C7">
        <v>70</v>
      </c>
      <c r="D7">
        <v>175</v>
      </c>
      <c r="E7" t="s">
        <v>9</v>
      </c>
      <c r="F7">
        <v>378</v>
      </c>
      <c r="G7">
        <f>2878-2519</f>
        <v>359</v>
      </c>
      <c r="H7">
        <v>374.41584303977203</v>
      </c>
      <c r="I7">
        <v>376.01078946403499</v>
      </c>
      <c r="J7" s="6">
        <f>(H7-G7)/G7</f>
        <v>4.2941066963153279E-2</v>
      </c>
      <c r="K7" s="3">
        <f>(I7-G7)/G7</f>
        <v>4.7383814663050097E-2</v>
      </c>
      <c r="L7" s="6">
        <f>ABS(J7)</f>
        <v>4.2941066963153279E-2</v>
      </c>
      <c r="M7" s="3">
        <f>ABS(K7)</f>
        <v>4.7383814663050097E-2</v>
      </c>
      <c r="Q7" s="25" t="s">
        <v>11</v>
      </c>
      <c r="R7" s="23"/>
    </row>
    <row r="8" spans="1:18" ht="15.5" x14ac:dyDescent="0.35">
      <c r="A8">
        <v>7</v>
      </c>
      <c r="B8">
        <v>31</v>
      </c>
      <c r="C8">
        <v>70</v>
      </c>
      <c r="D8">
        <v>175</v>
      </c>
      <c r="E8" t="s">
        <v>9</v>
      </c>
      <c r="F8">
        <v>364</v>
      </c>
      <c r="G8">
        <f>2552-2169</f>
        <v>383</v>
      </c>
      <c r="H8">
        <v>368.462060781118</v>
      </c>
      <c r="I8">
        <v>374.189063134658</v>
      </c>
      <c r="J8" s="6">
        <f>(H8-G8)/G8</f>
        <v>-3.7958065845644914E-2</v>
      </c>
      <c r="K8" s="3">
        <f>(I8-G8)/G8</f>
        <v>-2.3005057089665798E-2</v>
      </c>
      <c r="L8" s="6">
        <f>ABS(J8)</f>
        <v>3.7958065845644914E-2</v>
      </c>
      <c r="M8" s="3">
        <f>ABS(K8)</f>
        <v>2.3005057089665798E-2</v>
      </c>
      <c r="Q8" s="8" t="s">
        <v>18</v>
      </c>
      <c r="R8" s="26">
        <f>AVERAGE(J2:J551)</f>
        <v>4.2557321808779237E-3</v>
      </c>
    </row>
    <row r="9" spans="1:18" ht="15.5" x14ac:dyDescent="0.35">
      <c r="A9">
        <v>8</v>
      </c>
      <c r="B9">
        <v>31</v>
      </c>
      <c r="C9">
        <v>70</v>
      </c>
      <c r="D9">
        <v>175</v>
      </c>
      <c r="E9" t="s">
        <v>9</v>
      </c>
      <c r="F9">
        <v>429</v>
      </c>
      <c r="G9">
        <f>2637-2273</f>
        <v>364</v>
      </c>
      <c r="H9">
        <v>396.10462126772399</v>
      </c>
      <c r="I9">
        <v>399.76657136014802</v>
      </c>
      <c r="J9" s="6">
        <f>(H9-G9)/G9</f>
        <v>8.8199508977263696E-2</v>
      </c>
      <c r="K9" s="3">
        <f>(I9-G9)/G9</f>
        <v>9.8259811428978078E-2</v>
      </c>
      <c r="L9" s="6">
        <f>ABS(J9)</f>
        <v>8.8199508977263696E-2</v>
      </c>
      <c r="M9" s="3">
        <f>ABS(K9)</f>
        <v>9.8259811428978078E-2</v>
      </c>
      <c r="Q9" s="8" t="s">
        <v>17</v>
      </c>
      <c r="R9" s="9">
        <f>AVERAGE(L2:L551)</f>
        <v>5.3210058034047256E-2</v>
      </c>
    </row>
    <row r="10" spans="1:18" ht="15.5" x14ac:dyDescent="0.35">
      <c r="A10">
        <v>9</v>
      </c>
      <c r="B10">
        <v>31</v>
      </c>
      <c r="C10">
        <v>70</v>
      </c>
      <c r="D10">
        <v>175</v>
      </c>
      <c r="E10" t="s">
        <v>9</v>
      </c>
      <c r="F10">
        <v>380</v>
      </c>
      <c r="G10">
        <f>2834-2448</f>
        <v>386</v>
      </c>
      <c r="H10">
        <v>375.26638336243599</v>
      </c>
      <c r="I10">
        <v>376.54687887144303</v>
      </c>
      <c r="J10" s="6">
        <f>(H10-G10)/G10</f>
        <v>-2.7807296988507802E-2</v>
      </c>
      <c r="K10" s="3">
        <f>(I10-G10)/G10</f>
        <v>-2.4489951110251224E-2</v>
      </c>
      <c r="L10" s="6">
        <f>ABS(J10)</f>
        <v>2.7807296988507802E-2</v>
      </c>
      <c r="M10" s="3">
        <f>ABS(K10)</f>
        <v>2.4489951110251224E-2</v>
      </c>
      <c r="Q10" s="8" t="s">
        <v>19</v>
      </c>
      <c r="R10" s="9">
        <f>STDEV(L2:L551)</f>
        <v>5.4336401622541296E-2</v>
      </c>
    </row>
    <row r="11" spans="1:18" ht="15.5" x14ac:dyDescent="0.35">
      <c r="A11">
        <v>10</v>
      </c>
      <c r="B11">
        <v>31</v>
      </c>
      <c r="C11">
        <v>70</v>
      </c>
      <c r="D11">
        <v>175</v>
      </c>
      <c r="E11" t="s">
        <v>9</v>
      </c>
      <c r="F11">
        <v>397</v>
      </c>
      <c r="G11">
        <f>5126-4780</f>
        <v>346</v>
      </c>
      <c r="H11">
        <v>382.49597610508698</v>
      </c>
      <c r="I11">
        <v>382.80647747041201</v>
      </c>
      <c r="J11" s="6">
        <f>(H11-G11)/G11</f>
        <v>0.10547969972568491</v>
      </c>
      <c r="K11" s="3">
        <f>(I11-G11)/G11</f>
        <v>0.10637710251564163</v>
      </c>
      <c r="L11" s="6">
        <f>ABS(J11)</f>
        <v>0.10547969972568491</v>
      </c>
      <c r="M11" s="3">
        <f>ABS(K11)</f>
        <v>0.10637710251564163</v>
      </c>
      <c r="Q11" s="8" t="s">
        <v>20</v>
      </c>
      <c r="R11" s="10">
        <f>MAX(L2:L551)</f>
        <v>0.50495191840000397</v>
      </c>
    </row>
    <row r="12" spans="1:18" ht="16" thickBot="1" x14ac:dyDescent="0.4">
      <c r="A12">
        <v>11</v>
      </c>
      <c r="B12">
        <v>31</v>
      </c>
      <c r="C12">
        <v>70</v>
      </c>
      <c r="D12">
        <v>175</v>
      </c>
      <c r="E12" t="s">
        <v>9</v>
      </c>
      <c r="F12">
        <v>412</v>
      </c>
      <c r="G12">
        <f>2761-2399</f>
        <v>362</v>
      </c>
      <c r="H12">
        <v>388.87502852507299</v>
      </c>
      <c r="I12">
        <v>388.40927061070499</v>
      </c>
      <c r="J12" s="6">
        <f>(H12-G12)/G12</f>
        <v>7.4240410290256881E-2</v>
      </c>
      <c r="K12" s="3">
        <f>(I12-G12)/G12</f>
        <v>7.2953786217417105E-2</v>
      </c>
      <c r="L12" s="6">
        <f>ABS(J12)</f>
        <v>7.4240410290256881E-2</v>
      </c>
      <c r="M12" s="3">
        <f>ABS(K12)</f>
        <v>7.2953786217417105E-2</v>
      </c>
      <c r="Q12" s="11" t="s">
        <v>21</v>
      </c>
      <c r="R12" s="12">
        <f>MIN(L2:L551)</f>
        <v>1.6121628219310417E-4</v>
      </c>
    </row>
    <row r="13" spans="1:18" ht="15" thickBot="1" x14ac:dyDescent="0.4">
      <c r="A13">
        <v>12</v>
      </c>
      <c r="B13">
        <v>31</v>
      </c>
      <c r="C13">
        <v>70</v>
      </c>
      <c r="D13">
        <v>175</v>
      </c>
      <c r="E13" t="s">
        <v>9</v>
      </c>
      <c r="F13">
        <v>366</v>
      </c>
      <c r="G13">
        <f>3265-2898</f>
        <v>367</v>
      </c>
      <c r="H13">
        <v>369.31260110378298</v>
      </c>
      <c r="I13">
        <v>374.25419073572601</v>
      </c>
      <c r="J13" s="6">
        <f>(H13-G13)/G13</f>
        <v>6.3013654054032186E-3</v>
      </c>
      <c r="K13" s="3">
        <f>(I13-G13)/G13</f>
        <v>1.9766187290806574E-2</v>
      </c>
      <c r="L13" s="6">
        <f>ABS(J13)</f>
        <v>6.3013654054032186E-3</v>
      </c>
      <c r="M13" s="3">
        <f>ABS(K13)</f>
        <v>1.9766187290806574E-2</v>
      </c>
      <c r="Q13" s="7"/>
      <c r="R13" s="7"/>
    </row>
    <row r="14" spans="1:18" ht="15.5" x14ac:dyDescent="0.35">
      <c r="A14">
        <v>13</v>
      </c>
      <c r="B14">
        <v>31</v>
      </c>
      <c r="C14">
        <v>70</v>
      </c>
      <c r="D14">
        <v>175</v>
      </c>
      <c r="E14" t="s">
        <v>9</v>
      </c>
      <c r="F14">
        <v>396</v>
      </c>
      <c r="G14">
        <f>5407-5037</f>
        <v>370</v>
      </c>
      <c r="H14">
        <v>382.070705943755</v>
      </c>
      <c r="I14">
        <v>382.43295792772602</v>
      </c>
      <c r="J14" s="6">
        <f>(H14-G14)/G14</f>
        <v>3.262352957771622E-2</v>
      </c>
      <c r="K14" s="3">
        <f>(I14-G14)/G14</f>
        <v>3.3602588993854113E-2</v>
      </c>
      <c r="L14" s="6">
        <f>ABS(J14)</f>
        <v>3.262352957771622E-2</v>
      </c>
      <c r="M14" s="3">
        <f>ABS(K14)</f>
        <v>3.3602588993854113E-2</v>
      </c>
      <c r="Q14" s="25" t="s">
        <v>12</v>
      </c>
      <c r="R14" s="23"/>
    </row>
    <row r="15" spans="1:18" ht="15.5" x14ac:dyDescent="0.35">
      <c r="A15">
        <v>14</v>
      </c>
      <c r="B15">
        <v>31</v>
      </c>
      <c r="C15">
        <v>70</v>
      </c>
      <c r="D15">
        <v>175</v>
      </c>
      <c r="E15" t="s">
        <v>9</v>
      </c>
      <c r="F15">
        <v>380</v>
      </c>
      <c r="G15">
        <f>2807-2421</f>
        <v>386</v>
      </c>
      <c r="H15">
        <v>375.26638336243599</v>
      </c>
      <c r="I15">
        <v>376.54687887144303</v>
      </c>
      <c r="J15" s="6">
        <f>(H15-G15)/G15</f>
        <v>-2.7807296988507802E-2</v>
      </c>
      <c r="K15" s="3">
        <f>(I15-G15)/G15</f>
        <v>-2.4489951110251224E-2</v>
      </c>
      <c r="L15" s="6">
        <f>ABS(J15)</f>
        <v>2.7807296988507802E-2</v>
      </c>
      <c r="M15" s="3">
        <f>ABS(K15)</f>
        <v>2.4489951110251224E-2</v>
      </c>
      <c r="Q15" s="8" t="s">
        <v>18</v>
      </c>
      <c r="R15" s="26">
        <f>AVERAGE(K2:K551)</f>
        <v>1.2321764038637436E-2</v>
      </c>
    </row>
    <row r="16" spans="1:18" s="14" customFormat="1" ht="15.5" x14ac:dyDescent="0.35">
      <c r="A16" s="15">
        <v>15</v>
      </c>
      <c r="B16" s="15">
        <v>31</v>
      </c>
      <c r="C16" s="15">
        <v>70</v>
      </c>
      <c r="D16" s="15">
        <v>175</v>
      </c>
      <c r="E16" s="15" t="s">
        <v>9</v>
      </c>
      <c r="F16" s="15">
        <v>514</v>
      </c>
      <c r="G16" s="15">
        <f>2603-2249</f>
        <v>354</v>
      </c>
      <c r="H16" s="15">
        <v>432.25258498097702</v>
      </c>
      <c r="I16" s="15">
        <v>484.622509672197</v>
      </c>
      <c r="J16" s="15"/>
      <c r="K16" s="15"/>
      <c r="L16" s="15"/>
      <c r="M16" s="15"/>
      <c r="N16" s="15" t="s">
        <v>23</v>
      </c>
      <c r="Q16" s="8" t="s">
        <v>17</v>
      </c>
      <c r="R16" s="9">
        <f>AVERAGE(M2:M551)</f>
        <v>5.3587229501290815E-2</v>
      </c>
    </row>
    <row r="17" spans="1:34" ht="15.5" x14ac:dyDescent="0.35">
      <c r="A17">
        <v>16</v>
      </c>
      <c r="B17">
        <v>31</v>
      </c>
      <c r="C17">
        <v>70</v>
      </c>
      <c r="D17">
        <v>175</v>
      </c>
      <c r="E17" t="s">
        <v>9</v>
      </c>
      <c r="F17">
        <v>332</v>
      </c>
      <c r="G17">
        <f>2484-2142</f>
        <v>342</v>
      </c>
      <c r="H17">
        <v>354.85341561848202</v>
      </c>
      <c r="I17">
        <v>374.51219884360802</v>
      </c>
      <c r="J17" s="6">
        <f>(H17-G17)/G17</f>
        <v>3.7583086603748588E-2</v>
      </c>
      <c r="K17" s="3">
        <f>(I17-G17)/G17</f>
        <v>9.5064908899438652E-2</v>
      </c>
      <c r="L17" s="6">
        <f>ABS(J17)</f>
        <v>3.7583086603748588E-2</v>
      </c>
      <c r="M17" s="3">
        <f>ABS(K17)</f>
        <v>9.5064908899438652E-2</v>
      </c>
      <c r="Q17" s="8" t="s">
        <v>19</v>
      </c>
      <c r="R17" s="9">
        <f>STDEV(M2:M551)</f>
        <v>5.6250105885439466E-2</v>
      </c>
    </row>
    <row r="18" spans="1:34" ht="15.5" x14ac:dyDescent="0.35">
      <c r="A18">
        <v>17</v>
      </c>
      <c r="B18">
        <v>31</v>
      </c>
      <c r="C18">
        <v>70</v>
      </c>
      <c r="D18">
        <v>175</v>
      </c>
      <c r="E18" t="s">
        <v>9</v>
      </c>
      <c r="F18">
        <v>397</v>
      </c>
      <c r="G18">
        <f>2938-2570</f>
        <v>368</v>
      </c>
      <c r="H18">
        <v>382.49597610508698</v>
      </c>
      <c r="I18">
        <v>382.80647747041201</v>
      </c>
      <c r="J18" s="6">
        <f>(H18-G18)/G18</f>
        <v>3.9391239415997231E-2</v>
      </c>
      <c r="K18" s="3">
        <f>(I18-G18)/G18</f>
        <v>4.0234993126119577E-2</v>
      </c>
      <c r="L18" s="6">
        <f>ABS(J18)</f>
        <v>3.9391239415997231E-2</v>
      </c>
      <c r="M18" s="3">
        <f>ABS(K18)</f>
        <v>4.0234993126119577E-2</v>
      </c>
      <c r="Q18" s="8" t="s">
        <v>20</v>
      </c>
      <c r="R18" s="10">
        <f>MAX(M2:M551)</f>
        <v>0.50800614745337591</v>
      </c>
    </row>
    <row r="19" spans="1:34" ht="16" thickBot="1" x14ac:dyDescent="0.4">
      <c r="A19">
        <v>18</v>
      </c>
      <c r="B19">
        <v>31</v>
      </c>
      <c r="C19">
        <v>70</v>
      </c>
      <c r="D19">
        <v>175</v>
      </c>
      <c r="E19" t="s">
        <v>9</v>
      </c>
      <c r="F19">
        <v>365</v>
      </c>
      <c r="G19">
        <f>2937-2572</f>
        <v>365</v>
      </c>
      <c r="H19">
        <v>368.887330942451</v>
      </c>
      <c r="I19">
        <v>374.22162693519198</v>
      </c>
      <c r="J19" s="6">
        <f>(H19-G19)/G19</f>
        <v>1.0650221760139729E-2</v>
      </c>
      <c r="K19" s="3">
        <f>(I19-G19)/G19</f>
        <v>2.5264731329293091E-2</v>
      </c>
      <c r="L19" s="6">
        <f>ABS(J19)</f>
        <v>1.0650221760139729E-2</v>
      </c>
      <c r="M19" s="3">
        <f>ABS(K19)</f>
        <v>2.5264731329293091E-2</v>
      </c>
      <c r="Q19" s="11" t="s">
        <v>21</v>
      </c>
      <c r="R19" s="12">
        <f>MIN(M2:M551)</f>
        <v>5.3370010441732046E-5</v>
      </c>
    </row>
    <row r="20" spans="1:34" x14ac:dyDescent="0.35">
      <c r="A20">
        <v>19</v>
      </c>
      <c r="B20">
        <v>31</v>
      </c>
      <c r="C20">
        <v>70</v>
      </c>
      <c r="D20">
        <v>175</v>
      </c>
      <c r="E20" t="s">
        <v>9</v>
      </c>
      <c r="F20">
        <v>379</v>
      </c>
      <c r="G20">
        <f>2233-1873</f>
        <v>360</v>
      </c>
      <c r="H20">
        <v>374.84111320110401</v>
      </c>
      <c r="I20">
        <v>376.27883416773898</v>
      </c>
      <c r="J20" s="6">
        <f>(H20-G20)/G20</f>
        <v>4.1225314447511131E-2</v>
      </c>
      <c r="K20" s="3">
        <f>(I20-G20)/G20</f>
        <v>4.5218983799274942E-2</v>
      </c>
      <c r="L20" s="6">
        <f>ABS(J20)</f>
        <v>4.1225314447511131E-2</v>
      </c>
      <c r="M20" s="3">
        <f>ABS(K20)</f>
        <v>4.5218983799274942E-2</v>
      </c>
    </row>
    <row r="21" spans="1:34" x14ac:dyDescent="0.35">
      <c r="A21">
        <v>20</v>
      </c>
      <c r="B21">
        <v>31</v>
      </c>
      <c r="C21">
        <v>70</v>
      </c>
      <c r="D21">
        <v>175</v>
      </c>
      <c r="E21" t="s">
        <v>9</v>
      </c>
      <c r="F21">
        <v>396</v>
      </c>
      <c r="G21">
        <f>3325-2967</f>
        <v>358</v>
      </c>
      <c r="H21">
        <v>382.070705943755</v>
      </c>
      <c r="I21">
        <v>382.43295792772602</v>
      </c>
      <c r="J21" s="6">
        <f>(H21-G21)/G21</f>
        <v>6.7236608781438556E-2</v>
      </c>
      <c r="K21" s="3">
        <f>(I21-G21)/G21</f>
        <v>6.8248485831636937E-2</v>
      </c>
      <c r="L21" s="6">
        <f>ABS(J21)</f>
        <v>6.7236608781438556E-2</v>
      </c>
      <c r="M21" s="3">
        <f>ABS(K21)</f>
        <v>6.8248485831636937E-2</v>
      </c>
    </row>
    <row r="22" spans="1:34" s="15" customFormat="1" x14ac:dyDescent="0.35">
      <c r="A22" s="15">
        <v>21</v>
      </c>
      <c r="B22" s="15">
        <v>31</v>
      </c>
      <c r="C22" s="15">
        <v>70</v>
      </c>
      <c r="D22" s="15">
        <v>175</v>
      </c>
      <c r="E22" s="15" t="s">
        <v>9</v>
      </c>
      <c r="F22" s="15">
        <v>518</v>
      </c>
      <c r="G22" s="15">
        <f>2858-2520</f>
        <v>338</v>
      </c>
      <c r="H22" s="15">
        <v>433.95366562630602</v>
      </c>
      <c r="I22" s="15">
        <v>489.89260742045298</v>
      </c>
      <c r="N22" s="15" t="s">
        <v>23</v>
      </c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</row>
    <row r="23" spans="1:34" x14ac:dyDescent="0.35">
      <c r="A23">
        <v>22</v>
      </c>
      <c r="B23">
        <v>31</v>
      </c>
      <c r="C23">
        <v>70</v>
      </c>
      <c r="D23">
        <v>175</v>
      </c>
      <c r="E23" t="s">
        <v>9</v>
      </c>
      <c r="F23">
        <v>366</v>
      </c>
      <c r="G23">
        <f>2356-1975</f>
        <v>381</v>
      </c>
      <c r="H23">
        <v>369.31260110378298</v>
      </c>
      <c r="I23">
        <v>374.25419073572601</v>
      </c>
      <c r="J23" s="6">
        <f>(H23-G23)/G23</f>
        <v>-3.067558765411291E-2</v>
      </c>
      <c r="K23" s="3">
        <f>(I23-G23)/G23</f>
        <v>-1.7705536126703378E-2</v>
      </c>
      <c r="L23" s="6">
        <f>ABS(J23)</f>
        <v>3.067558765411291E-2</v>
      </c>
      <c r="M23" s="3">
        <f>ABS(K23)</f>
        <v>1.7705536126703378E-2</v>
      </c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</row>
    <row r="24" spans="1:34" s="15" customFormat="1" x14ac:dyDescent="0.35">
      <c r="A24" s="15">
        <v>23</v>
      </c>
      <c r="B24" s="15">
        <v>31</v>
      </c>
      <c r="C24" s="15">
        <v>70</v>
      </c>
      <c r="D24" s="15">
        <v>175</v>
      </c>
      <c r="E24" s="15" t="s">
        <v>9</v>
      </c>
      <c r="F24" s="15">
        <v>265</v>
      </c>
      <c r="G24" s="15">
        <f>2588-2202</f>
        <v>386</v>
      </c>
      <c r="H24" s="15">
        <v>326.36031480921201</v>
      </c>
      <c r="I24" s="15">
        <v>404.55705229310098</v>
      </c>
      <c r="N24" s="15" t="s">
        <v>23</v>
      </c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</row>
    <row r="25" spans="1:34" x14ac:dyDescent="0.35">
      <c r="A25">
        <v>24</v>
      </c>
      <c r="B25">
        <v>31</v>
      </c>
      <c r="C25">
        <v>70</v>
      </c>
      <c r="D25">
        <v>175</v>
      </c>
      <c r="E25" t="s">
        <v>9</v>
      </c>
      <c r="F25">
        <v>395</v>
      </c>
      <c r="G25">
        <f>2374-1983</f>
        <v>391</v>
      </c>
      <c r="H25">
        <v>381.645435782422</v>
      </c>
      <c r="I25">
        <v>382.05943838503998</v>
      </c>
      <c r="J25" s="6">
        <f>(H25-G25)/G25</f>
        <v>-2.3924716668997446E-2</v>
      </c>
      <c r="K25" s="3">
        <f>(I25-G25)/G25</f>
        <v>-2.2865886483273704E-2</v>
      </c>
      <c r="L25" s="6">
        <f>ABS(J25)</f>
        <v>2.3924716668997446E-2</v>
      </c>
      <c r="M25" s="3">
        <f>ABS(K25)</f>
        <v>2.2865886483273704E-2</v>
      </c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 x14ac:dyDescent="0.35">
      <c r="A26">
        <v>25</v>
      </c>
      <c r="B26">
        <v>31</v>
      </c>
      <c r="C26">
        <v>70</v>
      </c>
      <c r="D26">
        <v>175</v>
      </c>
      <c r="E26" t="s">
        <v>9</v>
      </c>
      <c r="F26">
        <v>397</v>
      </c>
      <c r="G26">
        <f>2545-2163</f>
        <v>382</v>
      </c>
      <c r="H26">
        <v>382.49597610508698</v>
      </c>
      <c r="I26">
        <v>382.80647747041201</v>
      </c>
      <c r="J26" s="6">
        <f>(H26-G26)/G26</f>
        <v>1.2983667672434071E-3</v>
      </c>
      <c r="K26" s="3">
        <f>(I26-G26)/G26</f>
        <v>2.1111975665235746E-3</v>
      </c>
      <c r="L26" s="6">
        <f>ABS(J26)</f>
        <v>1.2983667672434071E-3</v>
      </c>
      <c r="M26" s="3">
        <f>ABS(K26)</f>
        <v>2.1111975665235746E-3</v>
      </c>
      <c r="O26" s="20"/>
      <c r="P26" s="20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 x14ac:dyDescent="0.35">
      <c r="A27">
        <v>26</v>
      </c>
      <c r="B27">
        <v>31</v>
      </c>
      <c r="C27">
        <v>70</v>
      </c>
      <c r="D27">
        <v>175</v>
      </c>
      <c r="E27" t="s">
        <v>9</v>
      </c>
      <c r="F27">
        <v>381</v>
      </c>
      <c r="G27">
        <f>3351-2984</f>
        <v>367</v>
      </c>
      <c r="H27">
        <v>375.69165352376899</v>
      </c>
      <c r="I27">
        <v>376.83016478743298</v>
      </c>
      <c r="J27" s="6">
        <f>(H27-G27)/G27</f>
        <v>2.3682979628798343E-2</v>
      </c>
      <c r="K27" s="3">
        <f>(I27-G27)/G27</f>
        <v>2.6785190156493128E-2</v>
      </c>
      <c r="L27" s="6">
        <f>ABS(J27)</f>
        <v>2.3682979628798343E-2</v>
      </c>
      <c r="M27" s="3">
        <f>ABS(K27)</f>
        <v>2.6785190156493128E-2</v>
      </c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 x14ac:dyDescent="0.35">
      <c r="A28">
        <v>27</v>
      </c>
      <c r="B28">
        <v>31</v>
      </c>
      <c r="C28">
        <v>70</v>
      </c>
      <c r="D28">
        <v>175</v>
      </c>
      <c r="E28" t="s">
        <v>9</v>
      </c>
      <c r="F28">
        <v>365</v>
      </c>
      <c r="G28">
        <f>2555-2182</f>
        <v>373</v>
      </c>
      <c r="H28">
        <v>368.887330942451</v>
      </c>
      <c r="I28">
        <v>374.22162693519198</v>
      </c>
      <c r="J28" s="6">
        <f>(H28-G28)/G28</f>
        <v>-1.1025922406297585E-2</v>
      </c>
      <c r="K28" s="3">
        <f>(I28-G28)/G28</f>
        <v>3.2751392364396186E-3</v>
      </c>
      <c r="L28" s="6">
        <f>ABS(J28)</f>
        <v>1.1025922406297585E-2</v>
      </c>
      <c r="M28" s="3">
        <f>ABS(K28)</f>
        <v>3.2751392364396186E-3</v>
      </c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 s="13" customFormat="1" x14ac:dyDescent="0.35">
      <c r="A29" s="13">
        <v>28</v>
      </c>
      <c r="B29" s="13">
        <v>31</v>
      </c>
      <c r="C29" s="13">
        <v>70</v>
      </c>
      <c r="D29" s="13">
        <v>175</v>
      </c>
      <c r="E29" s="13" t="s">
        <v>9</v>
      </c>
      <c r="F29" s="13">
        <v>1174</v>
      </c>
      <c r="G29" s="13">
        <f>2379-2014</f>
        <v>365</v>
      </c>
      <c r="H29" s="13">
        <v>712.930891460353</v>
      </c>
      <c r="I29" s="13">
        <v>2168.0828816511798</v>
      </c>
      <c r="N29" s="13" t="s">
        <v>24</v>
      </c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 x14ac:dyDescent="0.35">
      <c r="A30">
        <v>29</v>
      </c>
      <c r="B30">
        <v>31</v>
      </c>
      <c r="C30">
        <v>70</v>
      </c>
      <c r="D30">
        <v>175</v>
      </c>
      <c r="E30" t="s">
        <v>9</v>
      </c>
      <c r="F30">
        <v>398</v>
      </c>
      <c r="G30">
        <f>2366-1966</f>
        <v>400</v>
      </c>
      <c r="H30">
        <v>382.92124626641998</v>
      </c>
      <c r="I30">
        <v>383.17999701309799</v>
      </c>
      <c r="J30" s="6">
        <f>(H30-G30)/G30</f>
        <v>-4.2696884333950039E-2</v>
      </c>
      <c r="K30" s="3">
        <f>(I30-G30)/G30</f>
        <v>-4.2050007467255027E-2</v>
      </c>
      <c r="L30" s="6">
        <f>ABS(J30)</f>
        <v>4.2696884333950039E-2</v>
      </c>
      <c r="M30" s="3">
        <f>ABS(K30)</f>
        <v>4.2050007467255027E-2</v>
      </c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 x14ac:dyDescent="0.35">
      <c r="A31">
        <v>30</v>
      </c>
      <c r="B31">
        <v>31</v>
      </c>
      <c r="C31">
        <v>70</v>
      </c>
      <c r="D31">
        <v>175</v>
      </c>
      <c r="E31" t="s">
        <v>9</v>
      </c>
      <c r="F31">
        <v>416</v>
      </c>
      <c r="G31">
        <f>2653-2260</f>
        <v>393</v>
      </c>
      <c r="H31">
        <v>390.57610917040199</v>
      </c>
      <c r="I31">
        <v>390.84859264165902</v>
      </c>
      <c r="J31" s="6">
        <f>(H31-G31)/G31</f>
        <v>-6.167661144015288E-3</v>
      </c>
      <c r="K31" s="3">
        <f>(I31-G31)/G31</f>
        <v>-5.4743189779668583E-3</v>
      </c>
      <c r="L31" s="6">
        <f>ABS(J31)</f>
        <v>6.167661144015288E-3</v>
      </c>
      <c r="M31" s="3">
        <f>ABS(K31)</f>
        <v>5.4743189779668583E-3</v>
      </c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 s="15" customFormat="1" x14ac:dyDescent="0.35">
      <c r="A32" s="15">
        <v>31</v>
      </c>
      <c r="B32" s="15">
        <v>31</v>
      </c>
      <c r="C32" s="15">
        <v>70</v>
      </c>
      <c r="D32" s="15">
        <v>175</v>
      </c>
      <c r="E32" s="15" t="s">
        <v>9</v>
      </c>
      <c r="F32" s="15">
        <v>294</v>
      </c>
      <c r="G32" s="15">
        <f>2077-1677</f>
        <v>400</v>
      </c>
      <c r="H32" s="15">
        <v>338.69314948785097</v>
      </c>
      <c r="I32" s="15">
        <v>385.75194365454303</v>
      </c>
      <c r="N32" s="15" t="s">
        <v>23</v>
      </c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 s="13" customFormat="1" x14ac:dyDescent="0.35">
      <c r="A33" s="13">
        <v>32</v>
      </c>
      <c r="B33" s="13">
        <v>31</v>
      </c>
      <c r="C33" s="13">
        <v>70</v>
      </c>
      <c r="D33" s="13">
        <v>175</v>
      </c>
      <c r="E33" s="13" t="s">
        <v>9</v>
      </c>
      <c r="F33" s="13">
        <v>694</v>
      </c>
      <c r="G33" s="13">
        <f>2397-2039</f>
        <v>358</v>
      </c>
      <c r="H33" s="13">
        <v>508.80121402080698</v>
      </c>
      <c r="I33" s="13">
        <v>846.823559261892</v>
      </c>
      <c r="N33" s="13" t="s">
        <v>24</v>
      </c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 s="15" customFormat="1" x14ac:dyDescent="0.35">
      <c r="A34" s="15">
        <v>33</v>
      </c>
      <c r="B34" s="15">
        <v>31</v>
      </c>
      <c r="C34" s="15">
        <v>70</v>
      </c>
      <c r="D34" s="15">
        <v>175</v>
      </c>
      <c r="E34" s="15" t="s">
        <v>9</v>
      </c>
      <c r="F34" s="15">
        <v>178</v>
      </c>
      <c r="G34" s="15">
        <f>2451-2080</f>
        <v>371</v>
      </c>
      <c r="H34" s="15">
        <v>289.361810773294</v>
      </c>
      <c r="I34" s="15">
        <v>501.24617548491</v>
      </c>
      <c r="N34" s="15" t="s">
        <v>23</v>
      </c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 s="13" customFormat="1" x14ac:dyDescent="0.35">
      <c r="A35" s="13">
        <v>34</v>
      </c>
      <c r="B35" s="13">
        <v>31</v>
      </c>
      <c r="C35" s="13">
        <v>70</v>
      </c>
      <c r="D35" s="13">
        <v>175</v>
      </c>
      <c r="E35" s="13" t="s">
        <v>9</v>
      </c>
      <c r="F35" s="13">
        <v>676</v>
      </c>
      <c r="G35" s="13">
        <f>2410-2004</f>
        <v>406</v>
      </c>
      <c r="H35" s="13">
        <v>501.14635111682401</v>
      </c>
      <c r="I35" s="13">
        <v>799.88793186618295</v>
      </c>
      <c r="N35" s="13" t="s">
        <v>24</v>
      </c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 x14ac:dyDescent="0.35">
      <c r="A36">
        <v>35</v>
      </c>
      <c r="B36">
        <v>31</v>
      </c>
      <c r="C36">
        <v>70</v>
      </c>
      <c r="D36">
        <v>175</v>
      </c>
      <c r="E36" t="s">
        <v>9</v>
      </c>
      <c r="F36">
        <v>435</v>
      </c>
      <c r="G36">
        <f>2659-2245</f>
        <v>414</v>
      </c>
      <c r="H36">
        <v>398.65624223571803</v>
      </c>
      <c r="I36">
        <v>404.52227871049303</v>
      </c>
      <c r="J36" s="6">
        <f>(H36-G36)/G36</f>
        <v>-3.7062216821937138E-2</v>
      </c>
      <c r="K36" s="3">
        <f>(I36-G36)/G36</f>
        <v>-2.2893046593012015E-2</v>
      </c>
      <c r="L36" s="6">
        <f>ABS(J36)</f>
        <v>3.7062216821937138E-2</v>
      </c>
      <c r="M36" s="3">
        <f>ABS(K36)</f>
        <v>2.2893046593012015E-2</v>
      </c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 s="13" customFormat="1" x14ac:dyDescent="0.35">
      <c r="A37" s="13">
        <v>36</v>
      </c>
      <c r="B37" s="13">
        <v>31</v>
      </c>
      <c r="C37" s="13">
        <v>70</v>
      </c>
      <c r="D37" s="13">
        <v>175</v>
      </c>
      <c r="E37" s="13" t="s">
        <v>9</v>
      </c>
      <c r="F37" s="13">
        <v>679</v>
      </c>
      <c r="G37" s="13">
        <f>2830-2440</f>
        <v>390</v>
      </c>
      <c r="H37" s="13">
        <v>502.42216160082103</v>
      </c>
      <c r="I37" s="13">
        <v>807.71053643213395</v>
      </c>
      <c r="N37" s="13" t="s">
        <v>24</v>
      </c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 x14ac:dyDescent="0.35">
      <c r="A38">
        <v>37</v>
      </c>
      <c r="B38">
        <v>31</v>
      </c>
      <c r="C38">
        <v>70</v>
      </c>
      <c r="D38">
        <v>175</v>
      </c>
      <c r="E38" t="s">
        <v>9</v>
      </c>
      <c r="F38">
        <v>447</v>
      </c>
      <c r="G38">
        <f>2482-2088</f>
        <v>394</v>
      </c>
      <c r="H38">
        <v>403.75948417170702</v>
      </c>
      <c r="I38">
        <v>414.03369341118503</v>
      </c>
      <c r="J38" s="6">
        <f>(H38-G38)/G38</f>
        <v>2.477026439519547E-2</v>
      </c>
      <c r="K38" s="3">
        <f>(I38-G38)/G38</f>
        <v>5.0846937591840169E-2</v>
      </c>
      <c r="L38" s="6">
        <f>ABS(J38)</f>
        <v>2.477026439519547E-2</v>
      </c>
      <c r="M38" s="3">
        <f>ABS(K38)</f>
        <v>5.0846937591840169E-2</v>
      </c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s="13" customFormat="1" x14ac:dyDescent="0.35">
      <c r="A39" s="13">
        <v>38</v>
      </c>
      <c r="B39" s="13">
        <v>31</v>
      </c>
      <c r="C39" s="13">
        <v>70</v>
      </c>
      <c r="D39" s="13">
        <v>175</v>
      </c>
      <c r="E39" s="13" t="s">
        <v>9</v>
      </c>
      <c r="F39" s="13">
        <v>1156</v>
      </c>
      <c r="G39" s="13">
        <f>3051-2662</f>
        <v>389</v>
      </c>
      <c r="H39" s="13">
        <v>705.27602855636997</v>
      </c>
      <c r="I39" s="13">
        <v>2117.8057236108202</v>
      </c>
      <c r="N39" s="13" t="s">
        <v>24</v>
      </c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</row>
    <row r="40" spans="1:34" x14ac:dyDescent="0.35">
      <c r="A40">
        <v>39</v>
      </c>
      <c r="B40">
        <v>31</v>
      </c>
      <c r="C40">
        <v>70</v>
      </c>
      <c r="D40">
        <v>175</v>
      </c>
      <c r="E40" t="s">
        <v>9</v>
      </c>
      <c r="F40">
        <v>412</v>
      </c>
      <c r="G40">
        <f>2769-2397</f>
        <v>372</v>
      </c>
      <c r="H40">
        <v>388.87502852507299</v>
      </c>
      <c r="I40">
        <v>388.40927061070499</v>
      </c>
      <c r="J40" s="6">
        <f>(H40-G40)/G40</f>
        <v>4.5362979906110192E-2</v>
      </c>
      <c r="K40" s="3">
        <f>(I40-G40)/G40</f>
        <v>4.4110942501895144E-2</v>
      </c>
      <c r="L40" s="6">
        <f>ABS(J40)</f>
        <v>4.5362979906110192E-2</v>
      </c>
      <c r="M40" s="3">
        <f>ABS(K40)</f>
        <v>4.4110942501895144E-2</v>
      </c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</row>
    <row r="41" spans="1:34" x14ac:dyDescent="0.35">
      <c r="A41">
        <v>40</v>
      </c>
      <c r="B41">
        <v>31</v>
      </c>
      <c r="C41">
        <v>70</v>
      </c>
      <c r="D41">
        <v>175</v>
      </c>
      <c r="E41" t="s">
        <v>9</v>
      </c>
      <c r="F41">
        <v>365</v>
      </c>
      <c r="G41">
        <f>2345-1966</f>
        <v>379</v>
      </c>
      <c r="H41">
        <v>368.887330942451</v>
      </c>
      <c r="I41">
        <v>374.22162693519198</v>
      </c>
      <c r="J41" s="6">
        <f>(H41-G41)/G41</f>
        <v>-2.6682504109627966E-2</v>
      </c>
      <c r="K41" s="3">
        <f>(I41-G41)/G41</f>
        <v>-1.2607844498174202E-2</v>
      </c>
      <c r="L41" s="6">
        <f>ABS(J41)</f>
        <v>2.6682504109627966E-2</v>
      </c>
      <c r="M41" s="3">
        <f>ABS(K41)</f>
        <v>1.2607844498174202E-2</v>
      </c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</row>
    <row r="42" spans="1:34" s="13" customFormat="1" x14ac:dyDescent="0.35">
      <c r="A42" s="13">
        <v>41</v>
      </c>
      <c r="B42" s="13">
        <v>31</v>
      </c>
      <c r="C42" s="13">
        <v>70</v>
      </c>
      <c r="D42" s="13">
        <v>175</v>
      </c>
      <c r="E42" s="13" t="s">
        <v>9</v>
      </c>
      <c r="F42" s="13">
        <v>1170</v>
      </c>
      <c r="G42" s="13">
        <f>2333-1916</f>
        <v>417</v>
      </c>
      <c r="H42" s="13">
        <v>711.22981081502405</v>
      </c>
      <c r="I42" s="13">
        <v>2156.9101798644301</v>
      </c>
      <c r="N42" s="13" t="s">
        <v>24</v>
      </c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</row>
    <row r="43" spans="1:34" x14ac:dyDescent="0.35">
      <c r="A43">
        <v>42</v>
      </c>
      <c r="B43">
        <v>31</v>
      </c>
      <c r="C43">
        <v>70</v>
      </c>
      <c r="D43">
        <v>175</v>
      </c>
      <c r="E43" t="s">
        <v>9</v>
      </c>
      <c r="F43">
        <v>444</v>
      </c>
      <c r="G43">
        <f>2503-2096</f>
        <v>407</v>
      </c>
      <c r="H43">
        <v>402.48367368770897</v>
      </c>
      <c r="I43">
        <v>411.65583973601201</v>
      </c>
      <c r="J43" s="6">
        <f>(H43-G43)/G43</f>
        <v>-1.1096624845923901E-2</v>
      </c>
      <c r="K43" s="3">
        <f>(I43-G43)/G43</f>
        <v>1.1439409670791186E-2</v>
      </c>
      <c r="L43" s="6">
        <f>ABS(J43)</f>
        <v>1.1096624845923901E-2</v>
      </c>
      <c r="M43" s="3">
        <f>ABS(K43)</f>
        <v>1.1439409670791186E-2</v>
      </c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</row>
    <row r="44" spans="1:34" x14ac:dyDescent="0.35">
      <c r="A44">
        <v>43</v>
      </c>
      <c r="B44">
        <v>31</v>
      </c>
      <c r="C44">
        <v>70</v>
      </c>
      <c r="D44">
        <v>175</v>
      </c>
      <c r="E44" t="s">
        <v>9</v>
      </c>
      <c r="F44">
        <v>448</v>
      </c>
      <c r="G44">
        <f>3278-2869</f>
        <v>409</v>
      </c>
      <c r="H44">
        <v>404.184754333039</v>
      </c>
      <c r="I44">
        <v>414.82631130290901</v>
      </c>
      <c r="J44" s="6">
        <f>(H44-G44)/G44</f>
        <v>-1.1773216789635709E-2</v>
      </c>
      <c r="K44" s="3">
        <f>(I44-G44)/G44</f>
        <v>1.424525990931297E-2</v>
      </c>
      <c r="L44" s="6">
        <f>ABS(J44)</f>
        <v>1.1773216789635709E-2</v>
      </c>
      <c r="M44" s="3">
        <f>ABS(K44)</f>
        <v>1.424525990931297E-2</v>
      </c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</row>
    <row r="45" spans="1:34" s="13" customFormat="1" x14ac:dyDescent="0.35">
      <c r="A45" s="13">
        <v>44</v>
      </c>
      <c r="B45" s="13">
        <v>31</v>
      </c>
      <c r="C45" s="13">
        <v>70</v>
      </c>
      <c r="D45" s="13">
        <v>175</v>
      </c>
      <c r="E45" s="13" t="s">
        <v>9</v>
      </c>
      <c r="F45" s="13">
        <v>710</v>
      </c>
      <c r="G45" s="13">
        <f>2324-1942</f>
        <v>382</v>
      </c>
      <c r="H45" s="13">
        <v>515.60553660212497</v>
      </c>
      <c r="I45" s="13">
        <v>888.54411694696705</v>
      </c>
      <c r="N45" s="13" t="s">
        <v>24</v>
      </c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</row>
    <row r="46" spans="1:34" x14ac:dyDescent="0.35">
      <c r="A46">
        <v>45</v>
      </c>
      <c r="B46">
        <v>31</v>
      </c>
      <c r="C46">
        <v>70</v>
      </c>
      <c r="D46">
        <v>175</v>
      </c>
      <c r="E46" t="s">
        <v>9</v>
      </c>
      <c r="F46">
        <v>431</v>
      </c>
      <c r="G46">
        <f>2321-1914</f>
        <v>407</v>
      </c>
      <c r="H46">
        <v>396.955161590388</v>
      </c>
      <c r="I46">
        <v>401.35180714359598</v>
      </c>
      <c r="J46" s="6">
        <f>(H46-G46)/G46</f>
        <v>-2.4680192652609331E-2</v>
      </c>
      <c r="K46" s="3">
        <f>(I46-G46)/G46</f>
        <v>-1.387762372580841E-2</v>
      </c>
      <c r="L46" s="6">
        <f>ABS(J46)</f>
        <v>2.4680192652609331E-2</v>
      </c>
      <c r="M46" s="3">
        <f>ABS(K46)</f>
        <v>1.387762372580841E-2</v>
      </c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</row>
    <row r="47" spans="1:34" x14ac:dyDescent="0.35">
      <c r="A47">
        <v>46</v>
      </c>
      <c r="B47">
        <v>31</v>
      </c>
      <c r="C47">
        <v>70</v>
      </c>
      <c r="D47">
        <v>175</v>
      </c>
      <c r="E47" t="s">
        <v>9</v>
      </c>
      <c r="F47">
        <v>330</v>
      </c>
      <c r="G47">
        <f>2292-1899</f>
        <v>393</v>
      </c>
      <c r="H47">
        <v>354.00287529581698</v>
      </c>
      <c r="I47">
        <v>374.75870334655298</v>
      </c>
      <c r="J47" s="6">
        <f>(H47-G47)/G47</f>
        <v>-9.9229324947030587E-2</v>
      </c>
      <c r="K47" s="3">
        <f>(I47-G47)/G47</f>
        <v>-4.6415513113096753E-2</v>
      </c>
      <c r="L47" s="6">
        <f>ABS(J47)</f>
        <v>9.9229324947030587E-2</v>
      </c>
      <c r="M47" s="3">
        <f>ABS(K47)</f>
        <v>4.6415513113096753E-2</v>
      </c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</row>
    <row r="48" spans="1:34" s="13" customFormat="1" x14ac:dyDescent="0.35">
      <c r="A48" s="13">
        <v>47</v>
      </c>
      <c r="B48" s="13">
        <v>31</v>
      </c>
      <c r="C48" s="13">
        <v>70</v>
      </c>
      <c r="D48" s="13">
        <v>175</v>
      </c>
      <c r="E48" s="13" t="s">
        <v>9</v>
      </c>
      <c r="F48" s="13">
        <v>774</v>
      </c>
      <c r="G48" s="13">
        <f>2463-2078</f>
        <v>385</v>
      </c>
      <c r="H48" s="13">
        <v>542.82282692739795</v>
      </c>
      <c r="I48" s="13">
        <v>1056.97046885345</v>
      </c>
      <c r="N48" s="13" t="s">
        <v>24</v>
      </c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</row>
    <row r="49" spans="1:34" x14ac:dyDescent="0.35">
      <c r="A49">
        <v>48</v>
      </c>
      <c r="B49">
        <v>31</v>
      </c>
      <c r="C49">
        <v>70</v>
      </c>
      <c r="D49">
        <v>175</v>
      </c>
      <c r="E49" t="s">
        <v>9</v>
      </c>
      <c r="F49">
        <v>412</v>
      </c>
      <c r="G49">
        <f>2014-1652</f>
        <v>362</v>
      </c>
      <c r="H49">
        <v>388.87502852507299</v>
      </c>
      <c r="I49">
        <v>388.40927061070499</v>
      </c>
      <c r="J49" s="6">
        <f>(H49-G49)/G49</f>
        <v>7.4240410290256881E-2</v>
      </c>
      <c r="K49" s="3">
        <f>(I49-G49)/G49</f>
        <v>7.2953786217417105E-2</v>
      </c>
      <c r="L49" s="6">
        <f>ABS(J49)</f>
        <v>7.4240410290256881E-2</v>
      </c>
      <c r="M49" s="3">
        <f>ABS(K49)</f>
        <v>7.2953786217417105E-2</v>
      </c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</row>
    <row r="50" spans="1:34" s="15" customFormat="1" x14ac:dyDescent="0.35">
      <c r="A50" s="15">
        <v>49</v>
      </c>
      <c r="B50" s="15">
        <v>31</v>
      </c>
      <c r="C50" s="15">
        <v>70</v>
      </c>
      <c r="D50" s="15">
        <v>175</v>
      </c>
      <c r="E50" s="15" t="s">
        <v>9</v>
      </c>
      <c r="F50" s="15">
        <v>506</v>
      </c>
      <c r="G50" s="15">
        <f>2467-2075</f>
        <v>392</v>
      </c>
      <c r="H50" s="15">
        <v>428.850423690318</v>
      </c>
      <c r="I50" s="15">
        <v>474.08231417568601</v>
      </c>
      <c r="N50" s="15" t="s">
        <v>23</v>
      </c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</row>
    <row r="51" spans="1:34" x14ac:dyDescent="0.35">
      <c r="A51">
        <v>50</v>
      </c>
      <c r="B51">
        <v>31</v>
      </c>
      <c r="C51">
        <v>70</v>
      </c>
      <c r="D51">
        <v>175</v>
      </c>
      <c r="E51" t="s">
        <v>9</v>
      </c>
      <c r="F51">
        <v>412</v>
      </c>
      <c r="G51">
        <f>2616-2238</f>
        <v>378</v>
      </c>
      <c r="H51">
        <v>388.87502852507299</v>
      </c>
      <c r="I51">
        <v>388.40927061070499</v>
      </c>
      <c r="J51" s="6">
        <f>(H51-G51)/G51</f>
        <v>2.8769916732997333E-2</v>
      </c>
      <c r="K51" s="3">
        <f>(I51-G51)/G51</f>
        <v>2.7537752938373E-2</v>
      </c>
      <c r="L51" s="6">
        <f>ABS(J51)</f>
        <v>2.8769916732997333E-2</v>
      </c>
      <c r="M51" s="3">
        <f>ABS(K51)</f>
        <v>2.7537752938373E-2</v>
      </c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</row>
    <row r="52" spans="1:34" s="15" customFormat="1" x14ac:dyDescent="0.35">
      <c r="A52" s="15">
        <v>51</v>
      </c>
      <c r="B52" s="15">
        <v>22</v>
      </c>
      <c r="C52" s="15">
        <v>78</v>
      </c>
      <c r="D52" s="15">
        <v>170</v>
      </c>
      <c r="E52" s="15" t="s">
        <v>9</v>
      </c>
      <c r="F52" s="15">
        <v>514</v>
      </c>
      <c r="G52" s="15">
        <f>1025-507</f>
        <v>518</v>
      </c>
      <c r="H52" s="15">
        <v>434.07472154120597</v>
      </c>
      <c r="I52" s="15">
        <v>534.72325638429299</v>
      </c>
      <c r="N52" s="15" t="s">
        <v>23</v>
      </c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</row>
    <row r="53" spans="1:34" x14ac:dyDescent="0.35">
      <c r="A53">
        <v>52</v>
      </c>
      <c r="B53">
        <v>22</v>
      </c>
      <c r="C53">
        <v>78</v>
      </c>
      <c r="D53">
        <v>170</v>
      </c>
      <c r="E53" t="s">
        <v>9</v>
      </c>
      <c r="F53">
        <v>433</v>
      </c>
      <c r="G53">
        <f>457-29</f>
        <v>428</v>
      </c>
      <c r="H53">
        <v>399.62783847328302</v>
      </c>
      <c r="I53">
        <v>405.06521619029201</v>
      </c>
      <c r="J53" s="6">
        <f>(H53-G53)/G53</f>
        <v>-6.6290097025039671E-2</v>
      </c>
      <c r="K53" s="3">
        <f>(I53-G53)/G53</f>
        <v>-5.3585943480626154E-2</v>
      </c>
      <c r="L53" s="6">
        <f>ABS(J53)</f>
        <v>6.6290097025039671E-2</v>
      </c>
      <c r="M53" s="3">
        <f>ABS(K53)</f>
        <v>5.3585943480626154E-2</v>
      </c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</row>
    <row r="54" spans="1:34" x14ac:dyDescent="0.35">
      <c r="A54">
        <v>53</v>
      </c>
      <c r="B54">
        <v>22</v>
      </c>
      <c r="C54">
        <v>78</v>
      </c>
      <c r="D54">
        <v>170</v>
      </c>
      <c r="E54" t="s">
        <v>9</v>
      </c>
      <c r="F54">
        <v>431</v>
      </c>
      <c r="G54">
        <f>872-479</f>
        <v>393</v>
      </c>
      <c r="H54">
        <v>398.77729815061798</v>
      </c>
      <c r="I54">
        <v>403.70274413956997</v>
      </c>
      <c r="J54" s="6">
        <f>(H54-G54)/G54</f>
        <v>1.4700504200045752E-2</v>
      </c>
      <c r="K54" s="3">
        <f>(I54-G54)/G54</f>
        <v>2.7233445647760743E-2</v>
      </c>
      <c r="L54" s="6">
        <f>ABS(J54)</f>
        <v>1.4700504200045752E-2</v>
      </c>
      <c r="M54" s="3">
        <f>ABS(K54)</f>
        <v>2.7233445647760743E-2</v>
      </c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</row>
    <row r="55" spans="1:34" x14ac:dyDescent="0.35">
      <c r="A55">
        <v>54</v>
      </c>
      <c r="B55">
        <v>22</v>
      </c>
      <c r="C55">
        <v>78</v>
      </c>
      <c r="D55">
        <v>170</v>
      </c>
      <c r="E55" t="s">
        <v>9</v>
      </c>
      <c r="F55">
        <v>416</v>
      </c>
      <c r="G55">
        <f>624-206</f>
        <v>418</v>
      </c>
      <c r="H55">
        <v>392.39824573063203</v>
      </c>
      <c r="I55">
        <v>393.48420375914901</v>
      </c>
      <c r="J55" s="6">
        <f>(H55-G55)/G55</f>
        <v>-6.1248215955425775E-2</v>
      </c>
      <c r="K55" s="3">
        <f>(I55-G55)/G55</f>
        <v>-5.8650230241270307E-2</v>
      </c>
      <c r="L55" s="6">
        <f>ABS(J55)</f>
        <v>6.1248215955425775E-2</v>
      </c>
      <c r="M55" s="3">
        <f>ABS(K55)</f>
        <v>5.8650230241270307E-2</v>
      </c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</row>
    <row r="56" spans="1:34" x14ac:dyDescent="0.35">
      <c r="A56">
        <v>55</v>
      </c>
      <c r="B56">
        <v>22</v>
      </c>
      <c r="C56">
        <v>78</v>
      </c>
      <c r="D56">
        <v>170</v>
      </c>
      <c r="E56" t="s">
        <v>9</v>
      </c>
      <c r="F56">
        <v>417</v>
      </c>
      <c r="G56">
        <f>1179-760</f>
        <v>419</v>
      </c>
      <c r="H56">
        <v>392.82351589196497</v>
      </c>
      <c r="I56">
        <v>394.16543978451102</v>
      </c>
      <c r="J56" s="6">
        <f>(H56-G56)/G56</f>
        <v>-6.2473709088389083E-2</v>
      </c>
      <c r="K56" s="3">
        <f>(I56-G56)/G56</f>
        <v>-5.9271026767276795E-2</v>
      </c>
      <c r="L56" s="6">
        <f>ABS(J56)</f>
        <v>6.2473709088389083E-2</v>
      </c>
      <c r="M56" s="3">
        <f>ABS(K56)</f>
        <v>5.9271026767276795E-2</v>
      </c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</row>
    <row r="57" spans="1:34" x14ac:dyDescent="0.35">
      <c r="A57">
        <v>56</v>
      </c>
      <c r="B57">
        <v>22</v>
      </c>
      <c r="C57">
        <v>78</v>
      </c>
      <c r="D57">
        <v>170</v>
      </c>
      <c r="E57" t="s">
        <v>9</v>
      </c>
      <c r="F57">
        <v>365</v>
      </c>
      <c r="G57">
        <f>443-74</f>
        <v>369</v>
      </c>
      <c r="H57">
        <v>370.70946750268001</v>
      </c>
      <c r="I57">
        <v>376.06711945650602</v>
      </c>
      <c r="J57" s="6">
        <f>(H57-G57)/G57</f>
        <v>4.632703259295429E-3</v>
      </c>
      <c r="K57" s="3">
        <f>(I57-G57)/G57</f>
        <v>1.9152085247983796E-2</v>
      </c>
      <c r="L57" s="6">
        <f>ABS(J57)</f>
        <v>4.632703259295429E-3</v>
      </c>
      <c r="M57" s="3">
        <f>ABS(K57)</f>
        <v>1.9152085247983796E-2</v>
      </c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</row>
    <row r="58" spans="1:34" x14ac:dyDescent="0.35">
      <c r="A58">
        <v>57</v>
      </c>
      <c r="B58">
        <v>22</v>
      </c>
      <c r="C58">
        <v>78</v>
      </c>
      <c r="D58">
        <v>170</v>
      </c>
      <c r="E58" t="s">
        <v>9</v>
      </c>
      <c r="F58">
        <v>448</v>
      </c>
      <c r="G58">
        <f>433-0</f>
        <v>433</v>
      </c>
      <c r="H58">
        <v>406.00689089326897</v>
      </c>
      <c r="I58">
        <v>415.76978978586999</v>
      </c>
      <c r="J58" s="6">
        <f>(H58-G58)/G58</f>
        <v>-6.2339743895452715E-2</v>
      </c>
      <c r="K58" s="3">
        <f>(I58-G58)/G58</f>
        <v>-3.9792633288983859E-2</v>
      </c>
      <c r="L58" s="6">
        <f>ABS(J58)</f>
        <v>6.2339743895452715E-2</v>
      </c>
      <c r="M58" s="3">
        <f>ABS(K58)</f>
        <v>3.9792633288983859E-2</v>
      </c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</row>
    <row r="59" spans="1:34" x14ac:dyDescent="0.35">
      <c r="A59" s="17">
        <v>58</v>
      </c>
      <c r="B59" s="17">
        <v>22</v>
      </c>
      <c r="C59" s="17">
        <v>78</v>
      </c>
      <c r="D59" s="17">
        <v>170</v>
      </c>
      <c r="E59" s="17" t="s">
        <v>9</v>
      </c>
      <c r="F59" s="17">
        <v>413</v>
      </c>
      <c r="G59" s="17">
        <f>549-0</f>
        <v>549</v>
      </c>
      <c r="H59">
        <v>391.12243524663501</v>
      </c>
      <c r="I59">
        <v>391.473227306642</v>
      </c>
      <c r="J59" s="18">
        <f>(H59-G59)/G59</f>
        <v>-0.28757297769283241</v>
      </c>
      <c r="K59" s="19">
        <f>(I59-G59)/G59</f>
        <v>-0.28693401219190895</v>
      </c>
      <c r="L59" s="18">
        <f>ABS(J59)</f>
        <v>0.28757297769283241</v>
      </c>
      <c r="M59" s="19">
        <f>ABS(K59)</f>
        <v>0.28693401219190895</v>
      </c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</row>
    <row r="60" spans="1:34" x14ac:dyDescent="0.35">
      <c r="A60">
        <v>59</v>
      </c>
      <c r="B60">
        <v>22</v>
      </c>
      <c r="C60">
        <v>78</v>
      </c>
      <c r="D60">
        <v>170</v>
      </c>
      <c r="E60" t="s">
        <v>9</v>
      </c>
      <c r="F60">
        <v>430</v>
      </c>
      <c r="G60">
        <f>810-377</f>
        <v>433</v>
      </c>
      <c r="H60">
        <v>398.352027989286</v>
      </c>
      <c r="I60">
        <v>403.02150811420802</v>
      </c>
      <c r="J60" s="6">
        <f>(H60-G60)/G60</f>
        <v>-8.001841111019399E-2</v>
      </c>
      <c r="K60" s="3">
        <f>(I60-G60)/G60</f>
        <v>-6.9234392345939907E-2</v>
      </c>
      <c r="L60" s="6">
        <f>ABS(J60)</f>
        <v>8.001841111019399E-2</v>
      </c>
      <c r="M60" s="3">
        <f>ABS(K60)</f>
        <v>6.9234392345939907E-2</v>
      </c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</row>
    <row r="61" spans="1:34" x14ac:dyDescent="0.35">
      <c r="A61">
        <v>60</v>
      </c>
      <c r="B61">
        <v>22</v>
      </c>
      <c r="C61">
        <v>78</v>
      </c>
      <c r="D61">
        <v>170</v>
      </c>
      <c r="E61" t="s">
        <v>9</v>
      </c>
      <c r="F61">
        <v>414</v>
      </c>
      <c r="G61">
        <f>402-0</f>
        <v>402</v>
      </c>
      <c r="H61">
        <v>391.54770540796699</v>
      </c>
      <c r="I61">
        <v>392.12173170842698</v>
      </c>
      <c r="J61" s="6">
        <f>(H61-G61)/G61</f>
        <v>-2.6000732816002521E-2</v>
      </c>
      <c r="K61" s="3">
        <f>(I61-G61)/G61</f>
        <v>-2.4572806695455279E-2</v>
      </c>
      <c r="L61" s="6">
        <f>ABS(J61)</f>
        <v>2.6000732816002521E-2</v>
      </c>
      <c r="M61" s="3">
        <f>ABS(K61)</f>
        <v>2.4572806695455279E-2</v>
      </c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</row>
    <row r="62" spans="1:34" x14ac:dyDescent="0.35">
      <c r="A62">
        <v>61</v>
      </c>
      <c r="B62">
        <v>22</v>
      </c>
      <c r="C62">
        <v>78</v>
      </c>
      <c r="D62">
        <v>170</v>
      </c>
      <c r="E62" t="s">
        <v>9</v>
      </c>
      <c r="F62">
        <v>449</v>
      </c>
      <c r="G62">
        <f>1032-676</f>
        <v>356</v>
      </c>
      <c r="H62">
        <v>406.43216105460101</v>
      </c>
      <c r="I62">
        <v>416.51751211060002</v>
      </c>
      <c r="J62" s="6">
        <f>(H62-G62)/G62</f>
        <v>0.14166337374887925</v>
      </c>
      <c r="K62" s="3">
        <f>(I62-G62)/G62</f>
        <v>0.16999301154662927</v>
      </c>
      <c r="L62" s="6">
        <f>ABS(J62)</f>
        <v>0.14166337374887925</v>
      </c>
      <c r="M62" s="3">
        <f>ABS(K62)</f>
        <v>0.16999301154662927</v>
      </c>
      <c r="O62" s="20"/>
      <c r="P62" s="20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</row>
    <row r="63" spans="1:34" x14ac:dyDescent="0.35">
      <c r="A63">
        <v>62</v>
      </c>
      <c r="B63">
        <v>22</v>
      </c>
      <c r="C63">
        <v>78</v>
      </c>
      <c r="D63">
        <v>170</v>
      </c>
      <c r="E63" t="s">
        <v>9</v>
      </c>
      <c r="F63">
        <v>431</v>
      </c>
      <c r="G63">
        <f>522-90</f>
        <v>432</v>
      </c>
      <c r="H63">
        <v>398.77729815061798</v>
      </c>
      <c r="I63">
        <v>403.70274413956997</v>
      </c>
      <c r="J63" s="6">
        <f>(H63-G63)/G63</f>
        <v>-7.6904402429125052E-2</v>
      </c>
      <c r="K63" s="3">
        <f>(I63-G63)/G63</f>
        <v>-6.5502907084328765E-2</v>
      </c>
      <c r="L63" s="6">
        <f>ABS(J63)</f>
        <v>7.6904402429125052E-2</v>
      </c>
      <c r="M63" s="3">
        <f>ABS(K63)</f>
        <v>6.5502907084328765E-2</v>
      </c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</row>
    <row r="64" spans="1:34" s="13" customFormat="1" x14ac:dyDescent="0.35">
      <c r="A64" s="13">
        <v>63</v>
      </c>
      <c r="B64" s="13">
        <v>22</v>
      </c>
      <c r="C64" s="13">
        <v>78</v>
      </c>
      <c r="D64" s="13">
        <v>170</v>
      </c>
      <c r="E64" s="13" t="s">
        <v>9</v>
      </c>
      <c r="F64" s="13">
        <v>755</v>
      </c>
      <c r="G64" s="13">
        <f>564-100</f>
        <v>464</v>
      </c>
      <c r="H64" s="13">
        <v>536.56483042231196</v>
      </c>
      <c r="I64" s="13">
        <v>1206.7022487694401</v>
      </c>
      <c r="N64" s="13" t="s">
        <v>24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</row>
    <row r="65" spans="1:34" x14ac:dyDescent="0.35">
      <c r="A65">
        <v>64</v>
      </c>
      <c r="B65">
        <v>22</v>
      </c>
      <c r="C65">
        <v>78</v>
      </c>
      <c r="D65">
        <v>170</v>
      </c>
      <c r="E65" t="s">
        <v>9</v>
      </c>
      <c r="F65">
        <v>414</v>
      </c>
      <c r="G65">
        <f>558-150</f>
        <v>408</v>
      </c>
      <c r="H65">
        <v>391.54770540796699</v>
      </c>
      <c r="I65">
        <v>392.12173170842698</v>
      </c>
      <c r="J65" s="6">
        <f>(H65-G65)/G65</f>
        <v>-4.0324251451061305E-2</v>
      </c>
      <c r="K65" s="3">
        <f>(I65-G65)/G65</f>
        <v>-3.8917324244051525E-2</v>
      </c>
      <c r="L65" s="6">
        <f>ABS(J65)</f>
        <v>4.0324251451061305E-2</v>
      </c>
      <c r="M65" s="3">
        <f>ABS(K65)</f>
        <v>3.8917324244051525E-2</v>
      </c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</row>
    <row r="66" spans="1:34" x14ac:dyDescent="0.35">
      <c r="A66">
        <v>65</v>
      </c>
      <c r="B66">
        <v>22</v>
      </c>
      <c r="C66">
        <v>78</v>
      </c>
      <c r="D66">
        <v>170</v>
      </c>
      <c r="E66" t="s">
        <v>9</v>
      </c>
      <c r="F66">
        <v>448</v>
      </c>
      <c r="G66">
        <f>765-326</f>
        <v>439</v>
      </c>
      <c r="H66">
        <v>406.00689089326897</v>
      </c>
      <c r="I66">
        <v>415.76978978586999</v>
      </c>
      <c r="J66" s="6">
        <f>(H66-G66)/G66</f>
        <v>-7.5155146029000058E-2</v>
      </c>
      <c r="K66" s="3">
        <f>(I66-G66)/G66</f>
        <v>-5.2916196387539888E-2</v>
      </c>
      <c r="L66" s="6">
        <f>ABS(J66)</f>
        <v>7.5155146029000058E-2</v>
      </c>
      <c r="M66" s="3">
        <f>ABS(K66)</f>
        <v>5.2916196387539888E-2</v>
      </c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</row>
    <row r="67" spans="1:34" x14ac:dyDescent="0.35">
      <c r="A67">
        <v>66</v>
      </c>
      <c r="B67">
        <v>22</v>
      </c>
      <c r="C67">
        <v>78</v>
      </c>
      <c r="D67">
        <v>170</v>
      </c>
      <c r="E67" t="s">
        <v>9</v>
      </c>
      <c r="F67">
        <v>464</v>
      </c>
      <c r="G67">
        <f>850-413</f>
        <v>437</v>
      </c>
      <c r="H67">
        <v>412.81121347458702</v>
      </c>
      <c r="I67">
        <v>430.08324759169199</v>
      </c>
      <c r="J67" s="6">
        <f>(H67-G67)/G67</f>
        <v>-5.5351914245796288E-2</v>
      </c>
      <c r="K67" s="3">
        <f>(I67-G67)/G67</f>
        <v>-1.5827808714663646E-2</v>
      </c>
      <c r="L67" s="6">
        <f>ABS(J67)</f>
        <v>5.5351914245796288E-2</v>
      </c>
      <c r="M67" s="3">
        <f>ABS(K67)</f>
        <v>1.5827808714663646E-2</v>
      </c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</row>
    <row r="68" spans="1:34" x14ac:dyDescent="0.35">
      <c r="A68">
        <v>67</v>
      </c>
      <c r="B68">
        <v>22</v>
      </c>
      <c r="C68">
        <v>78</v>
      </c>
      <c r="D68">
        <v>170</v>
      </c>
      <c r="E68" t="s">
        <v>9</v>
      </c>
      <c r="F68">
        <v>332</v>
      </c>
      <c r="G68">
        <f>591-215</f>
        <v>376</v>
      </c>
      <c r="H68">
        <v>356.675552178712</v>
      </c>
      <c r="I68">
        <v>392.17209560604999</v>
      </c>
      <c r="J68" s="6">
        <f>(H68-G68)/G68</f>
        <v>-5.1394808035340439E-2</v>
      </c>
      <c r="K68" s="3">
        <f>(I68-G68)/G68</f>
        <v>4.3010892569281894E-2</v>
      </c>
      <c r="L68" s="6">
        <f>ABS(J68)</f>
        <v>5.1394808035340439E-2</v>
      </c>
      <c r="M68" s="3">
        <f>ABS(K68)</f>
        <v>4.3010892569281894E-2</v>
      </c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</row>
    <row r="69" spans="1:34" x14ac:dyDescent="0.35">
      <c r="A69">
        <v>68</v>
      </c>
      <c r="B69">
        <v>22</v>
      </c>
      <c r="C69">
        <v>78</v>
      </c>
      <c r="D69">
        <v>170</v>
      </c>
      <c r="E69" t="s">
        <v>9</v>
      </c>
      <c r="F69">
        <v>446</v>
      </c>
      <c r="G69">
        <f>457-0</f>
        <v>457</v>
      </c>
      <c r="H69">
        <v>405.15635057060399</v>
      </c>
      <c r="I69">
        <v>414.27434513640998</v>
      </c>
      <c r="J69" s="6">
        <f>(H69-G69)/G69</f>
        <v>-0.11344343419999127</v>
      </c>
      <c r="K69" s="3">
        <f>(I69-G69)/G69</f>
        <v>-9.3491586134770294E-2</v>
      </c>
      <c r="L69" s="6">
        <f>ABS(J69)</f>
        <v>0.11344343419999127</v>
      </c>
      <c r="M69" s="3">
        <f>ABS(K69)</f>
        <v>9.3491586134770294E-2</v>
      </c>
      <c r="O69" s="20"/>
      <c r="P69" s="20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</row>
    <row r="70" spans="1:34" x14ac:dyDescent="0.35">
      <c r="A70">
        <v>69</v>
      </c>
      <c r="B70">
        <v>22</v>
      </c>
      <c r="C70">
        <v>78</v>
      </c>
      <c r="D70">
        <v>170</v>
      </c>
      <c r="E70" t="s">
        <v>9</v>
      </c>
      <c r="F70">
        <v>429</v>
      </c>
      <c r="G70">
        <f>816-417</f>
        <v>399</v>
      </c>
      <c r="H70">
        <v>397.926757827953</v>
      </c>
      <c r="I70">
        <v>402.34027208884697</v>
      </c>
      <c r="J70" s="6">
        <f>(H70-G70)/G70</f>
        <v>-2.689830005130333E-3</v>
      </c>
      <c r="K70" s="3">
        <f>(I70-G70)/G70</f>
        <v>8.3716092452305081E-3</v>
      </c>
      <c r="L70" s="6">
        <f>ABS(J70)</f>
        <v>2.689830005130333E-3</v>
      </c>
      <c r="M70" s="3">
        <f>ABS(K70)</f>
        <v>8.3716092452305081E-3</v>
      </c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</row>
    <row r="71" spans="1:34" x14ac:dyDescent="0.35">
      <c r="A71">
        <v>70</v>
      </c>
      <c r="B71">
        <v>22</v>
      </c>
      <c r="C71">
        <v>78</v>
      </c>
      <c r="D71">
        <v>170</v>
      </c>
      <c r="E71" t="s">
        <v>9</v>
      </c>
      <c r="F71">
        <v>430</v>
      </c>
      <c r="G71">
        <f>367-0</f>
        <v>367</v>
      </c>
      <c r="H71">
        <v>398.352027989286</v>
      </c>
      <c r="I71">
        <v>403.02150811420802</v>
      </c>
      <c r="J71" s="6">
        <f>(H71-G71)/G71</f>
        <v>8.5427869180615804E-2</v>
      </c>
      <c r="K71" s="3">
        <f>(I71-G71)/G71</f>
        <v>9.8151248267596775E-2</v>
      </c>
      <c r="L71" s="6">
        <f>ABS(J71)</f>
        <v>8.5427869180615804E-2</v>
      </c>
      <c r="M71" s="3">
        <f>ABS(K71)</f>
        <v>9.8151248267596775E-2</v>
      </c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</row>
    <row r="72" spans="1:34" x14ac:dyDescent="0.35">
      <c r="A72">
        <v>71</v>
      </c>
      <c r="B72">
        <v>22</v>
      </c>
      <c r="C72">
        <v>78</v>
      </c>
      <c r="D72">
        <v>170</v>
      </c>
      <c r="E72" t="s">
        <v>9</v>
      </c>
      <c r="F72">
        <v>430</v>
      </c>
      <c r="G72">
        <f>442-46</f>
        <v>396</v>
      </c>
      <c r="H72">
        <v>398.352027989286</v>
      </c>
      <c r="I72">
        <v>403.02150811420802</v>
      </c>
      <c r="J72" s="6">
        <f>(H72-G72)/G72</f>
        <v>5.9394646194090919E-3</v>
      </c>
      <c r="K72" s="3">
        <f>(I72-G72)/G72</f>
        <v>1.7731081096484896E-2</v>
      </c>
      <c r="L72" s="6">
        <f>ABS(J72)</f>
        <v>5.9394646194090919E-3</v>
      </c>
      <c r="M72" s="3">
        <f>ABS(K72)</f>
        <v>1.7731081096484896E-2</v>
      </c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</row>
    <row r="73" spans="1:34" x14ac:dyDescent="0.35">
      <c r="A73">
        <v>72</v>
      </c>
      <c r="B73">
        <v>22</v>
      </c>
      <c r="C73">
        <v>78</v>
      </c>
      <c r="D73">
        <v>170</v>
      </c>
      <c r="E73" t="s">
        <v>9</v>
      </c>
      <c r="F73">
        <v>430</v>
      </c>
      <c r="G73">
        <f>314-0</f>
        <v>314</v>
      </c>
      <c r="H73">
        <v>398.352027989286</v>
      </c>
      <c r="I73">
        <v>403.02150811420802</v>
      </c>
      <c r="J73" s="6">
        <f>(H73-G73)/G73</f>
        <v>0.26863703181301274</v>
      </c>
      <c r="K73" s="3">
        <f>(I73-G73)/G73</f>
        <v>0.28350798762486629</v>
      </c>
      <c r="L73" s="6">
        <f>ABS(J73)</f>
        <v>0.26863703181301274</v>
      </c>
      <c r="M73" s="3">
        <f>ABS(K73)</f>
        <v>0.28350798762486629</v>
      </c>
      <c r="O73" s="20"/>
      <c r="P73" s="20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</row>
    <row r="74" spans="1:34" x14ac:dyDescent="0.35">
      <c r="A74">
        <v>73</v>
      </c>
      <c r="B74">
        <v>22</v>
      </c>
      <c r="C74">
        <v>78</v>
      </c>
      <c r="D74">
        <v>170</v>
      </c>
      <c r="E74" t="s">
        <v>9</v>
      </c>
      <c r="F74">
        <v>430</v>
      </c>
      <c r="G74">
        <f>393-0</f>
        <v>393</v>
      </c>
      <c r="H74">
        <v>398.352027989286</v>
      </c>
      <c r="I74">
        <v>403.02150811420802</v>
      </c>
      <c r="J74" s="6">
        <f>(H74-G74)/G74</f>
        <v>1.3618391830244275E-2</v>
      </c>
      <c r="K74" s="3">
        <f>(I74-G74)/G74</f>
        <v>2.550002064683974E-2</v>
      </c>
      <c r="L74" s="6">
        <f>ABS(J74)</f>
        <v>1.3618391830244275E-2</v>
      </c>
      <c r="M74" s="3">
        <f>ABS(K74)</f>
        <v>2.550002064683974E-2</v>
      </c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</row>
    <row r="75" spans="1:34" x14ac:dyDescent="0.35">
      <c r="A75">
        <v>74</v>
      </c>
      <c r="B75">
        <v>22</v>
      </c>
      <c r="C75">
        <v>78</v>
      </c>
      <c r="D75">
        <v>170</v>
      </c>
      <c r="E75" t="s">
        <v>9</v>
      </c>
      <c r="F75">
        <v>431</v>
      </c>
      <c r="G75">
        <f>420-52</f>
        <v>368</v>
      </c>
      <c r="H75">
        <v>398.77729815061798</v>
      </c>
      <c r="I75">
        <v>403.70274413956997</v>
      </c>
      <c r="J75" s="6">
        <f>(H75-G75)/G75</f>
        <v>8.3633962365809736E-2</v>
      </c>
      <c r="K75" s="3">
        <f>(I75-G75)/G75</f>
        <v>9.7018326466222757E-2</v>
      </c>
      <c r="L75" s="6">
        <f>ABS(J75)</f>
        <v>8.3633962365809736E-2</v>
      </c>
      <c r="M75" s="3">
        <f>ABS(K75)</f>
        <v>9.7018326466222757E-2</v>
      </c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</row>
    <row r="76" spans="1:34" x14ac:dyDescent="0.35">
      <c r="A76">
        <v>75</v>
      </c>
      <c r="B76">
        <v>22</v>
      </c>
      <c r="C76">
        <v>78</v>
      </c>
      <c r="D76">
        <v>170</v>
      </c>
      <c r="E76" t="s">
        <v>9</v>
      </c>
      <c r="F76">
        <v>413</v>
      </c>
      <c r="G76">
        <f>764-409</f>
        <v>355</v>
      </c>
      <c r="H76">
        <v>391.12243524663501</v>
      </c>
      <c r="I76">
        <v>391.473227306642</v>
      </c>
      <c r="J76" s="6">
        <f>(H76-G76)/G76</f>
        <v>0.10175333872291552</v>
      </c>
      <c r="K76" s="3">
        <f>(I76-G76)/G76</f>
        <v>0.10274148537082255</v>
      </c>
      <c r="L76" s="6">
        <f>ABS(J76)</f>
        <v>0.10175333872291552</v>
      </c>
      <c r="M76" s="3">
        <f>ABS(K76)</f>
        <v>0.10274148537082255</v>
      </c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</row>
    <row r="77" spans="1:34" x14ac:dyDescent="0.35">
      <c r="A77">
        <v>76</v>
      </c>
      <c r="B77">
        <v>22</v>
      </c>
      <c r="C77">
        <v>78</v>
      </c>
      <c r="D77">
        <v>170</v>
      </c>
      <c r="E77" t="s">
        <v>9</v>
      </c>
      <c r="F77">
        <v>430</v>
      </c>
      <c r="G77">
        <f>1222-822</f>
        <v>400</v>
      </c>
      <c r="H77">
        <v>398.352027989286</v>
      </c>
      <c r="I77">
        <v>403.02150811420802</v>
      </c>
      <c r="J77" s="6">
        <f>(H77-G77)/G77</f>
        <v>-4.1199300267849995E-3</v>
      </c>
      <c r="K77" s="3">
        <f>(I77-G77)/G77</f>
        <v>7.5537702855200447E-3</v>
      </c>
      <c r="L77" s="6">
        <f>ABS(J77)</f>
        <v>4.1199300267849995E-3</v>
      </c>
      <c r="M77" s="3">
        <f>ABS(K77)</f>
        <v>7.5537702855200447E-3</v>
      </c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</row>
    <row r="78" spans="1:34" s="13" customFormat="1" x14ac:dyDescent="0.35">
      <c r="A78" s="13">
        <v>77</v>
      </c>
      <c r="B78" s="13">
        <v>22</v>
      </c>
      <c r="C78" s="13">
        <v>78</v>
      </c>
      <c r="D78" s="13">
        <v>170</v>
      </c>
      <c r="E78" s="13" t="s">
        <v>9</v>
      </c>
      <c r="F78" s="13">
        <v>875</v>
      </c>
      <c r="G78" s="13">
        <f>322-0</f>
        <v>322</v>
      </c>
      <c r="H78" s="13">
        <v>587.59724978219901</v>
      </c>
      <c r="I78" s="13">
        <v>1541.61383135963</v>
      </c>
      <c r="N78" s="13" t="s">
        <v>24</v>
      </c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</row>
    <row r="79" spans="1:34" x14ac:dyDescent="0.35">
      <c r="A79">
        <v>78</v>
      </c>
      <c r="B79">
        <v>22</v>
      </c>
      <c r="C79">
        <v>78</v>
      </c>
      <c r="D79">
        <v>170</v>
      </c>
      <c r="E79" t="s">
        <v>9</v>
      </c>
      <c r="F79">
        <v>429</v>
      </c>
      <c r="G79">
        <f>977-597</f>
        <v>380</v>
      </c>
      <c r="H79">
        <v>397.926757827953</v>
      </c>
      <c r="I79">
        <v>402.34027208884697</v>
      </c>
      <c r="J79" s="6">
        <f>(H79-G79)/G79</f>
        <v>4.7175678494613148E-2</v>
      </c>
      <c r="K79" s="3">
        <f>(I79-G79)/G79</f>
        <v>5.8790189707492037E-2</v>
      </c>
      <c r="L79" s="6">
        <f>ABS(J79)</f>
        <v>4.7175678494613148E-2</v>
      </c>
      <c r="M79" s="3">
        <f>ABS(K79)</f>
        <v>5.8790189707492037E-2</v>
      </c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</row>
    <row r="80" spans="1:34" x14ac:dyDescent="0.35">
      <c r="A80">
        <v>79</v>
      </c>
      <c r="B80">
        <v>22</v>
      </c>
      <c r="C80">
        <v>78</v>
      </c>
      <c r="D80">
        <v>170</v>
      </c>
      <c r="E80" t="s">
        <v>9</v>
      </c>
      <c r="F80">
        <v>447</v>
      </c>
      <c r="G80">
        <f>1720-1325</f>
        <v>395</v>
      </c>
      <c r="H80">
        <v>405.58162073193603</v>
      </c>
      <c r="I80">
        <v>415.02206746114001</v>
      </c>
      <c r="J80" s="6">
        <f>(H80-G80)/G80</f>
        <v>2.6788913245407664E-2</v>
      </c>
      <c r="K80" s="3">
        <f>(I80-G80)/G80</f>
        <v>5.0688778382632943E-2</v>
      </c>
      <c r="L80" s="6">
        <f>ABS(J80)</f>
        <v>2.6788913245407664E-2</v>
      </c>
      <c r="M80" s="3">
        <f>ABS(K80)</f>
        <v>5.0688778382632943E-2</v>
      </c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</row>
    <row r="81" spans="1:34" x14ac:dyDescent="0.35">
      <c r="A81">
        <v>80</v>
      </c>
      <c r="B81">
        <v>22</v>
      </c>
      <c r="C81">
        <v>78</v>
      </c>
      <c r="D81">
        <v>170</v>
      </c>
      <c r="E81" t="s">
        <v>9</v>
      </c>
      <c r="F81">
        <v>398</v>
      </c>
      <c r="G81">
        <f>1408-992</f>
        <v>416</v>
      </c>
      <c r="H81">
        <v>384.743382826649</v>
      </c>
      <c r="I81">
        <v>384.63779264278401</v>
      </c>
      <c r="J81" s="6">
        <f>(H81-G81)/G81</f>
        <v>-7.5136098974401447E-2</v>
      </c>
      <c r="K81" s="3">
        <f>(I81-G81)/G81</f>
        <v>-7.5389921531769211E-2</v>
      </c>
      <c r="L81" s="6">
        <f>ABS(J81)</f>
        <v>7.5136098974401447E-2</v>
      </c>
      <c r="M81" s="3">
        <f>ABS(K81)</f>
        <v>7.5389921531769211E-2</v>
      </c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</row>
    <row r="82" spans="1:34" x14ac:dyDescent="0.35">
      <c r="A82">
        <v>81</v>
      </c>
      <c r="B82">
        <v>22</v>
      </c>
      <c r="C82">
        <v>78</v>
      </c>
      <c r="D82">
        <v>170</v>
      </c>
      <c r="E82" t="s">
        <v>9</v>
      </c>
      <c r="F82">
        <v>380</v>
      </c>
      <c r="G82">
        <f>690-338</f>
        <v>352</v>
      </c>
      <c r="H82">
        <v>377.08851992266602</v>
      </c>
      <c r="I82">
        <v>377.70729131353198</v>
      </c>
      <c r="J82" s="6">
        <f>(H82-G82)/G82</f>
        <v>7.1274204325755749E-2</v>
      </c>
      <c r="K82" s="3">
        <f>(I82-G82)/G82</f>
        <v>7.3032077595261313E-2</v>
      </c>
      <c r="L82" s="6">
        <f>ABS(J82)</f>
        <v>7.1274204325755749E-2</v>
      </c>
      <c r="M82" s="3">
        <f>ABS(K82)</f>
        <v>7.3032077595261313E-2</v>
      </c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</row>
    <row r="83" spans="1:34" x14ac:dyDescent="0.35">
      <c r="A83">
        <v>82</v>
      </c>
      <c r="B83">
        <v>22</v>
      </c>
      <c r="C83">
        <v>78</v>
      </c>
      <c r="D83">
        <v>170</v>
      </c>
      <c r="E83" t="s">
        <v>9</v>
      </c>
      <c r="F83">
        <v>415</v>
      </c>
      <c r="G83">
        <f>1528-1134</f>
        <v>394</v>
      </c>
      <c r="H83">
        <v>391.97297556929999</v>
      </c>
      <c r="I83">
        <v>392.80296773378802</v>
      </c>
      <c r="J83" s="6">
        <f>(H83-G83)/G83</f>
        <v>-5.144732057614238E-3</v>
      </c>
      <c r="K83" s="3">
        <f>(I83-G83)/G83</f>
        <v>-3.0381529599288757E-3</v>
      </c>
      <c r="L83" s="6">
        <f>ABS(J83)</f>
        <v>5.144732057614238E-3</v>
      </c>
      <c r="M83" s="3">
        <f>ABS(K83)</f>
        <v>3.0381529599288757E-3</v>
      </c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</row>
    <row r="84" spans="1:34" x14ac:dyDescent="0.35">
      <c r="A84">
        <v>83</v>
      </c>
      <c r="B84">
        <v>22</v>
      </c>
      <c r="C84">
        <v>78</v>
      </c>
      <c r="D84">
        <v>170</v>
      </c>
      <c r="E84" t="s">
        <v>9</v>
      </c>
      <c r="F84">
        <v>431</v>
      </c>
      <c r="G84">
        <f>1793-1363</f>
        <v>430</v>
      </c>
      <c r="H84">
        <v>398.77729815061798</v>
      </c>
      <c r="I84">
        <v>403.70274413956997</v>
      </c>
      <c r="J84" s="6">
        <f>(H84-G84)/G84</f>
        <v>-7.2610934533446553E-2</v>
      </c>
      <c r="K84" s="3">
        <f>(I84-G84)/G84</f>
        <v>-6.1156408977744249E-2</v>
      </c>
      <c r="L84" s="6">
        <f>ABS(J84)</f>
        <v>7.2610934533446553E-2</v>
      </c>
      <c r="M84" s="3">
        <f>ABS(K84)</f>
        <v>6.1156408977744249E-2</v>
      </c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</row>
    <row r="85" spans="1:34" x14ac:dyDescent="0.35">
      <c r="A85">
        <v>84</v>
      </c>
      <c r="B85">
        <v>22</v>
      </c>
      <c r="C85">
        <v>78</v>
      </c>
      <c r="D85">
        <v>170</v>
      </c>
      <c r="E85" t="s">
        <v>9</v>
      </c>
      <c r="F85">
        <v>430</v>
      </c>
      <c r="G85">
        <f>1481-1058</f>
        <v>423</v>
      </c>
      <c r="H85">
        <v>398.352027989286</v>
      </c>
      <c r="I85">
        <v>403.02150811420802</v>
      </c>
      <c r="J85" s="6">
        <f>(H85-G85)/G85</f>
        <v>-5.8269437377574465E-2</v>
      </c>
      <c r="K85" s="3">
        <f>(I85-G85)/G85</f>
        <v>-4.7230477271375845E-2</v>
      </c>
      <c r="L85" s="6">
        <f>ABS(J85)</f>
        <v>5.8269437377574465E-2</v>
      </c>
      <c r="M85" s="3">
        <f>ABS(K85)</f>
        <v>4.7230477271375845E-2</v>
      </c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</row>
    <row r="86" spans="1:34" x14ac:dyDescent="0.35">
      <c r="A86">
        <v>85</v>
      </c>
      <c r="B86">
        <v>22</v>
      </c>
      <c r="C86">
        <v>78</v>
      </c>
      <c r="D86">
        <v>170</v>
      </c>
      <c r="E86" t="s">
        <v>9</v>
      </c>
      <c r="F86">
        <v>430</v>
      </c>
      <c r="G86">
        <f>1371-951</f>
        <v>420</v>
      </c>
      <c r="H86">
        <v>398.352027989286</v>
      </c>
      <c r="I86">
        <v>403.02150811420802</v>
      </c>
      <c r="J86" s="6">
        <f>(H86-G86)/G86</f>
        <v>-5.1542790501699999E-2</v>
      </c>
      <c r="K86" s="3">
        <f>(I86-G86)/G86</f>
        <v>-4.04249806804571E-2</v>
      </c>
      <c r="L86" s="6">
        <f>ABS(J86)</f>
        <v>5.1542790501699999E-2</v>
      </c>
      <c r="M86" s="3">
        <f>ABS(K86)</f>
        <v>4.04249806804571E-2</v>
      </c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</row>
    <row r="87" spans="1:34" x14ac:dyDescent="0.35">
      <c r="A87">
        <v>86</v>
      </c>
      <c r="B87">
        <v>22</v>
      </c>
      <c r="C87">
        <v>78</v>
      </c>
      <c r="D87">
        <v>170</v>
      </c>
      <c r="E87" t="s">
        <v>9</v>
      </c>
      <c r="F87">
        <v>430</v>
      </c>
      <c r="G87">
        <f>1106-680</f>
        <v>426</v>
      </c>
      <c r="H87">
        <v>398.352027989286</v>
      </c>
      <c r="I87">
        <v>403.02150811420802</v>
      </c>
      <c r="J87" s="6">
        <f>(H87-G87)/G87</f>
        <v>-6.4901342748154928E-2</v>
      </c>
      <c r="K87" s="3">
        <f>(I87-G87)/G87</f>
        <v>-5.3940121797633758E-2</v>
      </c>
      <c r="L87" s="6">
        <f>ABS(J87)</f>
        <v>6.4901342748154928E-2</v>
      </c>
      <c r="M87" s="3">
        <f>ABS(K87)</f>
        <v>5.3940121797633758E-2</v>
      </c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</row>
    <row r="88" spans="1:34" x14ac:dyDescent="0.35">
      <c r="A88">
        <v>87</v>
      </c>
      <c r="B88">
        <v>22</v>
      </c>
      <c r="C88">
        <v>78</v>
      </c>
      <c r="D88">
        <v>170</v>
      </c>
      <c r="E88" t="s">
        <v>9</v>
      </c>
      <c r="F88">
        <v>447</v>
      </c>
      <c r="G88">
        <f>522-142</f>
        <v>380</v>
      </c>
      <c r="H88">
        <v>405.58162073193603</v>
      </c>
      <c r="I88">
        <v>415.02206746114001</v>
      </c>
      <c r="J88" s="6">
        <f>(H88-G88)/G88</f>
        <v>6.7320054557726383E-2</v>
      </c>
      <c r="K88" s="3">
        <f>(I88-G88)/G88</f>
        <v>9.2163335424052667E-2</v>
      </c>
      <c r="L88" s="6">
        <f>ABS(J88)</f>
        <v>6.7320054557726383E-2</v>
      </c>
      <c r="M88" s="3">
        <f>ABS(K88)</f>
        <v>9.2163335424052667E-2</v>
      </c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</row>
    <row r="89" spans="1:34" x14ac:dyDescent="0.35">
      <c r="A89">
        <v>88</v>
      </c>
      <c r="B89">
        <v>22</v>
      </c>
      <c r="C89">
        <v>78</v>
      </c>
      <c r="D89">
        <v>170</v>
      </c>
      <c r="E89" t="s">
        <v>9</v>
      </c>
      <c r="F89">
        <v>430</v>
      </c>
      <c r="G89">
        <f>2131-1685</f>
        <v>446</v>
      </c>
      <c r="H89">
        <v>398.352027989286</v>
      </c>
      <c r="I89">
        <v>403.02150811420802</v>
      </c>
      <c r="J89" s="6">
        <f>(H89-G89)/G89</f>
        <v>-0.10683401796124216</v>
      </c>
      <c r="K89" s="3">
        <f>(I89-G89)/G89</f>
        <v>-9.6364331582493232E-2</v>
      </c>
      <c r="L89" s="6">
        <f>ABS(J89)</f>
        <v>0.10683401796124216</v>
      </c>
      <c r="M89" s="3">
        <f>ABS(K89)</f>
        <v>9.6364331582493232E-2</v>
      </c>
      <c r="O89" s="20"/>
      <c r="P89" s="20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</row>
    <row r="90" spans="1:34" x14ac:dyDescent="0.35">
      <c r="A90">
        <v>89</v>
      </c>
      <c r="B90">
        <v>22</v>
      </c>
      <c r="C90">
        <v>78</v>
      </c>
      <c r="D90">
        <v>170</v>
      </c>
      <c r="E90" t="s">
        <v>9</v>
      </c>
      <c r="F90">
        <v>462</v>
      </c>
      <c r="G90">
        <f>460-36</f>
        <v>424</v>
      </c>
      <c r="H90">
        <v>411.96067315192198</v>
      </c>
      <c r="I90">
        <v>428.08588115755498</v>
      </c>
      <c r="J90" s="6">
        <f>(H90-G90)/G90</f>
        <v>-2.8394638792636838E-2</v>
      </c>
      <c r="K90" s="3">
        <f>(I90-G90)/G90</f>
        <v>9.636512164044762E-3</v>
      </c>
      <c r="L90" s="6">
        <f>ABS(J90)</f>
        <v>2.8394638792636838E-2</v>
      </c>
      <c r="M90" s="3">
        <f>ABS(K90)</f>
        <v>9.636512164044762E-3</v>
      </c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</row>
    <row r="91" spans="1:34" x14ac:dyDescent="0.35">
      <c r="A91">
        <v>90</v>
      </c>
      <c r="B91">
        <v>22</v>
      </c>
      <c r="C91">
        <v>78</v>
      </c>
      <c r="D91">
        <v>170</v>
      </c>
      <c r="E91" t="s">
        <v>9</v>
      </c>
      <c r="F91">
        <v>430</v>
      </c>
      <c r="G91">
        <f>902-454</f>
        <v>448</v>
      </c>
      <c r="H91">
        <v>398.352027989286</v>
      </c>
      <c r="I91">
        <v>403.02150811420802</v>
      </c>
      <c r="J91" s="6">
        <f>(H91-G91)/G91</f>
        <v>-0.11082136609534375</v>
      </c>
      <c r="K91" s="3">
        <f>(I91-G91)/G91</f>
        <v>-0.10039841938792853</v>
      </c>
      <c r="L91" s="6">
        <f>ABS(J91)</f>
        <v>0.11082136609534375</v>
      </c>
      <c r="M91" s="3">
        <f>ABS(K91)</f>
        <v>0.10039841938792853</v>
      </c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</row>
    <row r="92" spans="1:34" x14ac:dyDescent="0.35">
      <c r="A92">
        <v>91</v>
      </c>
      <c r="B92">
        <v>22</v>
      </c>
      <c r="C92">
        <v>78</v>
      </c>
      <c r="D92">
        <v>170</v>
      </c>
      <c r="E92" t="s">
        <v>9</v>
      </c>
      <c r="F92">
        <v>413</v>
      </c>
      <c r="G92">
        <f>798-406</f>
        <v>392</v>
      </c>
      <c r="H92">
        <v>391.12243524663501</v>
      </c>
      <c r="I92">
        <v>391.473227306642</v>
      </c>
      <c r="J92" s="6">
        <f>(H92-G92)/G92</f>
        <v>-2.23868559531886E-3</v>
      </c>
      <c r="K92" s="3">
        <f>(I92-G92)/G92</f>
        <v>-1.3438078912193824E-3</v>
      </c>
      <c r="L92" s="6">
        <f>ABS(J92)</f>
        <v>2.23868559531886E-3</v>
      </c>
      <c r="M92" s="3">
        <f>ABS(K92)</f>
        <v>1.3438078912193824E-3</v>
      </c>
      <c r="O92" s="20"/>
      <c r="P92" s="20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</row>
    <row r="93" spans="1:34" x14ac:dyDescent="0.35">
      <c r="A93">
        <v>92</v>
      </c>
      <c r="B93">
        <v>22</v>
      </c>
      <c r="C93">
        <v>78</v>
      </c>
      <c r="D93">
        <v>170</v>
      </c>
      <c r="E93" t="s">
        <v>9</v>
      </c>
      <c r="F93">
        <v>445</v>
      </c>
      <c r="G93">
        <f>658-270</f>
        <v>388</v>
      </c>
      <c r="H93">
        <v>404.73108040927099</v>
      </c>
      <c r="I93">
        <v>413.52662281168</v>
      </c>
      <c r="J93" s="6">
        <f>(H93-G93)/G93</f>
        <v>4.3121341261007702E-2</v>
      </c>
      <c r="K93" s="3">
        <f>(I93-G93)/G93</f>
        <v>6.5790264978556695E-2</v>
      </c>
      <c r="L93" s="6">
        <f>ABS(J93)</f>
        <v>4.3121341261007702E-2</v>
      </c>
      <c r="M93" s="3">
        <f>ABS(K93)</f>
        <v>6.5790264978556695E-2</v>
      </c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</row>
    <row r="94" spans="1:34" x14ac:dyDescent="0.35">
      <c r="A94">
        <v>93</v>
      </c>
      <c r="B94">
        <v>22</v>
      </c>
      <c r="C94">
        <v>78</v>
      </c>
      <c r="D94">
        <v>170</v>
      </c>
      <c r="E94" t="s">
        <v>9</v>
      </c>
      <c r="F94">
        <v>446</v>
      </c>
      <c r="G94">
        <f>1202-771</f>
        <v>431</v>
      </c>
      <c r="H94">
        <v>405.15635057060399</v>
      </c>
      <c r="I94">
        <v>414.27434513640998</v>
      </c>
      <c r="J94" s="6">
        <f>(H94-G94)/G94</f>
        <v>-5.9962063641290045E-2</v>
      </c>
      <c r="K94" s="3">
        <f>(I94-G94)/G94</f>
        <v>-3.880662381343393E-2</v>
      </c>
      <c r="L94" s="6">
        <f>ABS(J94)</f>
        <v>5.9962063641290045E-2</v>
      </c>
      <c r="M94" s="3">
        <f>ABS(K94)</f>
        <v>3.880662381343393E-2</v>
      </c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</row>
    <row r="95" spans="1:34" x14ac:dyDescent="0.35">
      <c r="A95">
        <v>94</v>
      </c>
      <c r="B95">
        <v>22</v>
      </c>
      <c r="C95">
        <v>78</v>
      </c>
      <c r="D95">
        <v>170</v>
      </c>
      <c r="E95" t="s">
        <v>9</v>
      </c>
      <c r="F95">
        <v>413</v>
      </c>
      <c r="G95">
        <f>642-211</f>
        <v>431</v>
      </c>
      <c r="H95">
        <v>391.12243524663501</v>
      </c>
      <c r="I95">
        <v>391.473227306642</v>
      </c>
      <c r="J95" s="6">
        <f>(H95-G95)/G95</f>
        <v>-9.2523352095974468E-2</v>
      </c>
      <c r="K95" s="3">
        <f>(I95-G95)/G95</f>
        <v>-9.1709449404542925E-2</v>
      </c>
      <c r="L95" s="6">
        <f>ABS(J95)</f>
        <v>9.2523352095974468E-2</v>
      </c>
      <c r="M95" s="3">
        <f>ABS(K95)</f>
        <v>9.1709449404542925E-2</v>
      </c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</row>
    <row r="96" spans="1:34" x14ac:dyDescent="0.35">
      <c r="A96">
        <v>95</v>
      </c>
      <c r="B96">
        <v>22</v>
      </c>
      <c r="C96">
        <v>78</v>
      </c>
      <c r="D96">
        <v>170</v>
      </c>
      <c r="E96" t="s">
        <v>9</v>
      </c>
      <c r="F96">
        <v>430</v>
      </c>
      <c r="G96">
        <f>603-168</f>
        <v>435</v>
      </c>
      <c r="H96">
        <v>398.352027989286</v>
      </c>
      <c r="I96">
        <v>403.02150811420802</v>
      </c>
      <c r="J96" s="6">
        <f>(H96-G96)/G96</f>
        <v>-8.424821151888276E-2</v>
      </c>
      <c r="K96" s="3">
        <f>(I96-G96)/G96</f>
        <v>-7.3513774450096506E-2</v>
      </c>
      <c r="L96" s="6">
        <f>ABS(J96)</f>
        <v>8.424821151888276E-2</v>
      </c>
      <c r="M96" s="3">
        <f>ABS(K96)</f>
        <v>7.3513774450096506E-2</v>
      </c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</row>
    <row r="97" spans="1:34" x14ac:dyDescent="0.35">
      <c r="A97">
        <v>96</v>
      </c>
      <c r="B97">
        <v>22</v>
      </c>
      <c r="C97">
        <v>78</v>
      </c>
      <c r="D97">
        <v>170</v>
      </c>
      <c r="E97" t="s">
        <v>9</v>
      </c>
      <c r="F97">
        <v>429</v>
      </c>
      <c r="G97">
        <f>2133-1694</f>
        <v>439</v>
      </c>
      <c r="H97">
        <v>397.926757827953</v>
      </c>
      <c r="I97">
        <v>402.34027208884697</v>
      </c>
      <c r="J97" s="6">
        <f>(H97-G97)/G97</f>
        <v>-9.3560916109446474E-2</v>
      </c>
      <c r="K97" s="3">
        <f>(I97-G97)/G97</f>
        <v>-8.3507352872785934E-2</v>
      </c>
      <c r="L97" s="6">
        <f>ABS(J97)</f>
        <v>9.3560916109446474E-2</v>
      </c>
      <c r="M97" s="3">
        <f>ABS(K97)</f>
        <v>8.3507352872785934E-2</v>
      </c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</row>
    <row r="98" spans="1:34" x14ac:dyDescent="0.35">
      <c r="A98">
        <v>97</v>
      </c>
      <c r="B98">
        <v>22</v>
      </c>
      <c r="C98">
        <v>78</v>
      </c>
      <c r="D98">
        <v>170</v>
      </c>
      <c r="E98" t="s">
        <v>9</v>
      </c>
      <c r="F98">
        <v>430</v>
      </c>
      <c r="G98">
        <f>540-135</f>
        <v>405</v>
      </c>
      <c r="H98">
        <v>398.352027989286</v>
      </c>
      <c r="I98">
        <v>403.02150811420802</v>
      </c>
      <c r="J98" s="6">
        <f>(H98-G98)/G98</f>
        <v>-1.6414745705466666E-2</v>
      </c>
      <c r="K98" s="3">
        <f>(I98-G98)/G98</f>
        <v>-4.885165150103659E-3</v>
      </c>
      <c r="L98" s="6">
        <f>ABS(J98)</f>
        <v>1.6414745705466666E-2</v>
      </c>
      <c r="M98" s="3">
        <f>ABS(K98)</f>
        <v>4.885165150103659E-3</v>
      </c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</row>
    <row r="99" spans="1:34" x14ac:dyDescent="0.35">
      <c r="A99">
        <v>98</v>
      </c>
      <c r="B99">
        <v>22</v>
      </c>
      <c r="C99">
        <v>78</v>
      </c>
      <c r="D99">
        <v>170</v>
      </c>
      <c r="E99" t="s">
        <v>9</v>
      </c>
      <c r="F99">
        <v>448</v>
      </c>
      <c r="G99">
        <f>423-0</f>
        <v>423</v>
      </c>
      <c r="H99">
        <v>406.00689089326897</v>
      </c>
      <c r="I99">
        <v>415.76978978586999</v>
      </c>
      <c r="J99" s="6">
        <f>(H99-G99)/G99</f>
        <v>-4.0172834767685642E-2</v>
      </c>
      <c r="K99" s="3">
        <f>(I99-G99)/G99</f>
        <v>-1.7092695541678513E-2</v>
      </c>
      <c r="L99" s="6">
        <f>ABS(J99)</f>
        <v>4.0172834767685642E-2</v>
      </c>
      <c r="M99" s="3">
        <f>ABS(K99)</f>
        <v>1.7092695541678513E-2</v>
      </c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</row>
    <row r="100" spans="1:34" x14ac:dyDescent="0.35">
      <c r="A100">
        <v>99</v>
      </c>
      <c r="B100">
        <v>22</v>
      </c>
      <c r="C100">
        <v>78</v>
      </c>
      <c r="D100">
        <v>170</v>
      </c>
      <c r="E100" t="s">
        <v>9</v>
      </c>
      <c r="F100">
        <v>445</v>
      </c>
      <c r="G100">
        <f>969-509</f>
        <v>460</v>
      </c>
      <c r="H100">
        <v>404.73108040927099</v>
      </c>
      <c r="I100">
        <v>413.52662281168</v>
      </c>
      <c r="J100" s="6">
        <f>(H100-G100)/G100</f>
        <v>-0.12014982519723698</v>
      </c>
      <c r="K100" s="3">
        <f>(I100-G100)/G100</f>
        <v>-0.10102908084417392</v>
      </c>
      <c r="L100" s="6">
        <f>ABS(J100)</f>
        <v>0.12014982519723698</v>
      </c>
      <c r="M100" s="3">
        <f>ABS(K100)</f>
        <v>0.10102908084417392</v>
      </c>
      <c r="O100" s="20"/>
      <c r="P100" s="20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</row>
    <row r="101" spans="1:34" s="13" customFormat="1" x14ac:dyDescent="0.35">
      <c r="A101" s="13">
        <v>100</v>
      </c>
      <c r="B101" s="13">
        <v>22</v>
      </c>
      <c r="C101" s="13">
        <v>78</v>
      </c>
      <c r="D101" s="13">
        <v>170</v>
      </c>
      <c r="E101" s="13" t="s">
        <v>9</v>
      </c>
      <c r="F101" s="13">
        <v>811</v>
      </c>
      <c r="G101" s="13">
        <f>695-287</f>
        <v>408</v>
      </c>
      <c r="H101" s="13">
        <v>560.37995945692603</v>
      </c>
      <c r="I101" s="13">
        <v>1362.99432064486</v>
      </c>
      <c r="N101" s="13" t="s">
        <v>24</v>
      </c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</row>
    <row r="102" spans="1:34" x14ac:dyDescent="0.35">
      <c r="A102">
        <v>101</v>
      </c>
      <c r="B102">
        <v>22</v>
      </c>
      <c r="C102">
        <v>78</v>
      </c>
      <c r="D102">
        <v>170</v>
      </c>
      <c r="E102" t="s">
        <v>9</v>
      </c>
      <c r="F102">
        <v>430</v>
      </c>
      <c r="G102">
        <f>701-264</f>
        <v>437</v>
      </c>
      <c r="H102">
        <v>398.352027989286</v>
      </c>
      <c r="I102">
        <v>403.02150811420802</v>
      </c>
      <c r="J102" s="6">
        <f>(H102-G102)/G102</f>
        <v>-8.8439295219025174E-2</v>
      </c>
      <c r="K102" s="3">
        <f>(I102-G102)/G102</f>
        <v>-7.7753986008677306E-2</v>
      </c>
      <c r="L102" s="6">
        <f>ABS(J102)</f>
        <v>8.8439295219025174E-2</v>
      </c>
      <c r="M102" s="3">
        <f>ABS(K102)</f>
        <v>7.7753986008677306E-2</v>
      </c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</row>
    <row r="103" spans="1:34" x14ac:dyDescent="0.35">
      <c r="A103">
        <v>102</v>
      </c>
      <c r="B103">
        <v>22</v>
      </c>
      <c r="C103">
        <v>78</v>
      </c>
      <c r="D103">
        <v>170</v>
      </c>
      <c r="E103" t="s">
        <v>9</v>
      </c>
      <c r="F103">
        <v>429</v>
      </c>
      <c r="G103">
        <f>398-0</f>
        <v>398</v>
      </c>
      <c r="H103">
        <v>397.926757827953</v>
      </c>
      <c r="I103">
        <v>402.34027208884697</v>
      </c>
      <c r="J103" s="6">
        <f>(H103-G103)/G103</f>
        <v>-1.8402555790704246E-4</v>
      </c>
      <c r="K103" s="3">
        <f>(I103-G103)/G103</f>
        <v>1.0905206253384354E-2</v>
      </c>
      <c r="L103" s="6">
        <f>ABS(J103)</f>
        <v>1.8402555790704246E-4</v>
      </c>
      <c r="M103" s="3">
        <f>ABS(K103)</f>
        <v>1.0905206253384354E-2</v>
      </c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</row>
    <row r="104" spans="1:34" x14ac:dyDescent="0.35">
      <c r="A104">
        <v>103</v>
      </c>
      <c r="B104">
        <v>22</v>
      </c>
      <c r="C104">
        <v>78</v>
      </c>
      <c r="D104">
        <v>170</v>
      </c>
      <c r="E104" t="s">
        <v>9</v>
      </c>
      <c r="F104">
        <v>398</v>
      </c>
      <c r="G104">
        <f>891-496</f>
        <v>395</v>
      </c>
      <c r="H104">
        <v>384.743382826649</v>
      </c>
      <c r="I104">
        <v>384.63779264278401</v>
      </c>
      <c r="J104" s="6">
        <f>(H104-G104)/G104</f>
        <v>-2.5966119426205071E-2</v>
      </c>
      <c r="K104" s="3">
        <f>(I104-G104)/G104</f>
        <v>-2.6233436347382261E-2</v>
      </c>
      <c r="L104" s="6">
        <f>ABS(J104)</f>
        <v>2.5966119426205071E-2</v>
      </c>
      <c r="M104" s="3">
        <f>ABS(K104)</f>
        <v>2.6233436347382261E-2</v>
      </c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</row>
    <row r="105" spans="1:34" x14ac:dyDescent="0.35">
      <c r="A105">
        <v>104</v>
      </c>
      <c r="B105">
        <v>22</v>
      </c>
      <c r="C105">
        <v>78</v>
      </c>
      <c r="D105">
        <v>170</v>
      </c>
      <c r="E105" t="s">
        <v>9</v>
      </c>
      <c r="F105">
        <v>423</v>
      </c>
      <c r="G105">
        <f>1454-1071</f>
        <v>383</v>
      </c>
      <c r="H105">
        <v>395.37513685995901</v>
      </c>
      <c r="I105">
        <v>398.252855936679</v>
      </c>
      <c r="J105" s="6">
        <f>(H105-G105)/G105</f>
        <v>3.2311062297543117E-2</v>
      </c>
      <c r="K105" s="3">
        <f>(I105-G105)/G105</f>
        <v>3.9824689129710177E-2</v>
      </c>
      <c r="L105" s="6">
        <f>ABS(J105)</f>
        <v>3.2311062297543117E-2</v>
      </c>
      <c r="M105" s="3">
        <f>ABS(K105)</f>
        <v>3.9824689129710177E-2</v>
      </c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</row>
    <row r="106" spans="1:34" x14ac:dyDescent="0.35">
      <c r="A106">
        <v>105</v>
      </c>
      <c r="B106">
        <v>22</v>
      </c>
      <c r="C106">
        <v>78</v>
      </c>
      <c r="D106">
        <v>170</v>
      </c>
      <c r="E106" t="s">
        <v>9</v>
      </c>
      <c r="F106">
        <v>430</v>
      </c>
      <c r="G106">
        <f>552-122</f>
        <v>430</v>
      </c>
      <c r="H106">
        <v>398.352027989286</v>
      </c>
      <c r="I106">
        <v>403.02150811420802</v>
      </c>
      <c r="J106" s="6">
        <f>(H106-G106)/G106</f>
        <v>-7.3599934908637213E-2</v>
      </c>
      <c r="K106" s="3">
        <f>(I106-G106)/G106</f>
        <v>-6.2740678804167394E-2</v>
      </c>
      <c r="L106" s="6">
        <f>ABS(J106)</f>
        <v>7.3599934908637213E-2</v>
      </c>
      <c r="M106" s="3">
        <f>ABS(K106)</f>
        <v>6.2740678804167394E-2</v>
      </c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</row>
    <row r="107" spans="1:34" x14ac:dyDescent="0.35">
      <c r="A107">
        <v>106</v>
      </c>
      <c r="B107">
        <v>22</v>
      </c>
      <c r="C107">
        <v>78</v>
      </c>
      <c r="D107">
        <v>170</v>
      </c>
      <c r="E107" t="s">
        <v>9</v>
      </c>
      <c r="F107">
        <v>449</v>
      </c>
      <c r="G107">
        <f>1195-772</f>
        <v>423</v>
      </c>
      <c r="H107">
        <v>406.43216105460101</v>
      </c>
      <c r="I107">
        <v>416.51751211060002</v>
      </c>
      <c r="J107" s="6">
        <f>(H107-G107)/G107</f>
        <v>-3.9167467956025978E-2</v>
      </c>
      <c r="K107" s="3">
        <f>(I107-G107)/G107</f>
        <v>-1.5325030471394744E-2</v>
      </c>
      <c r="L107" s="6">
        <f>ABS(J107)</f>
        <v>3.9167467956025978E-2</v>
      </c>
      <c r="M107" s="3">
        <f>ABS(K107)</f>
        <v>1.5325030471394744E-2</v>
      </c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</row>
    <row r="108" spans="1:34" x14ac:dyDescent="0.35">
      <c r="A108">
        <v>107</v>
      </c>
      <c r="B108">
        <v>22</v>
      </c>
      <c r="C108">
        <v>78</v>
      </c>
      <c r="D108">
        <v>170</v>
      </c>
      <c r="E108" t="s">
        <v>9</v>
      </c>
      <c r="F108">
        <v>382</v>
      </c>
      <c r="G108">
        <f>977-598</f>
        <v>379</v>
      </c>
      <c r="H108">
        <v>377.93906024533101</v>
      </c>
      <c r="I108">
        <v>378.421296858733</v>
      </c>
      <c r="J108" s="6">
        <f>(H108-G108)/G108</f>
        <v>-2.7993133368575023E-3</v>
      </c>
      <c r="K108" s="3">
        <f>(I108-G108)/G108</f>
        <v>-1.5269212170633218E-3</v>
      </c>
      <c r="L108" s="6">
        <f>ABS(J108)</f>
        <v>2.7993133368575023E-3</v>
      </c>
      <c r="M108" s="3">
        <f>ABS(K108)</f>
        <v>1.5269212170633218E-3</v>
      </c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</row>
    <row r="109" spans="1:34" x14ac:dyDescent="0.35">
      <c r="A109">
        <v>108</v>
      </c>
      <c r="B109">
        <v>22</v>
      </c>
      <c r="C109">
        <v>78</v>
      </c>
      <c r="D109">
        <v>170</v>
      </c>
      <c r="E109" t="s">
        <v>9</v>
      </c>
      <c r="F109">
        <v>415</v>
      </c>
      <c r="G109">
        <f>567-152</f>
        <v>415</v>
      </c>
      <c r="H109">
        <v>391.97297556929999</v>
      </c>
      <c r="I109">
        <v>392.80296773378802</v>
      </c>
      <c r="J109" s="6">
        <f>(H109-G109)/G109</f>
        <v>-5.5486805857108461E-2</v>
      </c>
      <c r="K109" s="3">
        <f>(I109-G109)/G109</f>
        <v>-5.3486824737860185E-2</v>
      </c>
      <c r="L109" s="6">
        <f>ABS(J109)</f>
        <v>5.5486805857108461E-2</v>
      </c>
      <c r="M109" s="3">
        <f>ABS(K109)</f>
        <v>5.3486824737860185E-2</v>
      </c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</row>
    <row r="110" spans="1:34" x14ac:dyDescent="0.35">
      <c r="A110">
        <v>109</v>
      </c>
      <c r="B110">
        <v>22</v>
      </c>
      <c r="C110">
        <v>78</v>
      </c>
      <c r="D110">
        <v>170</v>
      </c>
      <c r="E110" t="s">
        <v>9</v>
      </c>
      <c r="F110">
        <v>415</v>
      </c>
      <c r="G110">
        <f>1216-802</f>
        <v>414</v>
      </c>
      <c r="H110">
        <v>391.97297556929999</v>
      </c>
      <c r="I110">
        <v>392.80296773378802</v>
      </c>
      <c r="J110" s="6">
        <f>(H110-G110)/G110</f>
        <v>-5.3205373021014517E-2</v>
      </c>
      <c r="K110" s="3">
        <f>(I110-G110)/G110</f>
        <v>-5.1200561029497528E-2</v>
      </c>
      <c r="L110" s="6">
        <f>ABS(J110)</f>
        <v>5.3205373021014517E-2</v>
      </c>
      <c r="M110" s="3">
        <f>ABS(K110)</f>
        <v>5.1200561029497528E-2</v>
      </c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</row>
    <row r="111" spans="1:34" x14ac:dyDescent="0.35">
      <c r="A111">
        <v>110</v>
      </c>
      <c r="B111">
        <v>22</v>
      </c>
      <c r="C111">
        <v>78</v>
      </c>
      <c r="D111">
        <v>170</v>
      </c>
      <c r="E111" t="s">
        <v>9</v>
      </c>
      <c r="F111">
        <v>415</v>
      </c>
      <c r="G111">
        <f>381-0</f>
        <v>381</v>
      </c>
      <c r="H111">
        <v>391.97297556929999</v>
      </c>
      <c r="I111">
        <v>392.80296773378802</v>
      </c>
      <c r="J111" s="6">
        <f>(H111-G111)/G111</f>
        <v>2.8800460811810997E-2</v>
      </c>
      <c r="K111" s="3">
        <f>(I111-G111)/G111</f>
        <v>3.0978917936451505E-2</v>
      </c>
      <c r="L111" s="6">
        <f>ABS(J111)</f>
        <v>2.8800460811810997E-2</v>
      </c>
      <c r="M111" s="3">
        <f>ABS(K111)</f>
        <v>3.0978917936451505E-2</v>
      </c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</row>
    <row r="112" spans="1:34" x14ac:dyDescent="0.35">
      <c r="A112">
        <v>111</v>
      </c>
      <c r="B112">
        <v>22</v>
      </c>
      <c r="C112">
        <v>78</v>
      </c>
      <c r="D112">
        <v>170</v>
      </c>
      <c r="E112" t="s">
        <v>9</v>
      </c>
      <c r="F112">
        <v>432</v>
      </c>
      <c r="G112">
        <f>735-314</f>
        <v>421</v>
      </c>
      <c r="H112">
        <v>399.20256831195002</v>
      </c>
      <c r="I112">
        <v>404.38398016493102</v>
      </c>
      <c r="J112" s="6">
        <f>(H112-G112)/G112</f>
        <v>-5.1775372180641287E-2</v>
      </c>
      <c r="K112" s="3">
        <f>(I112-G112)/G112</f>
        <v>-3.9467980605864567E-2</v>
      </c>
      <c r="L112" s="6">
        <f>ABS(J112)</f>
        <v>5.1775372180641287E-2</v>
      </c>
      <c r="M112" s="3">
        <f>ABS(K112)</f>
        <v>3.9467980605864567E-2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</row>
    <row r="113" spans="1:34" x14ac:dyDescent="0.35">
      <c r="A113">
        <v>112</v>
      </c>
      <c r="B113">
        <v>22</v>
      </c>
      <c r="C113">
        <v>78</v>
      </c>
      <c r="D113">
        <v>170</v>
      </c>
      <c r="E113" t="s">
        <v>9</v>
      </c>
      <c r="F113">
        <v>416</v>
      </c>
      <c r="G113">
        <f>1034-625</f>
        <v>409</v>
      </c>
      <c r="H113">
        <v>392.39824573063203</v>
      </c>
      <c r="I113">
        <v>393.48420375914901</v>
      </c>
      <c r="J113" s="6">
        <f>(H113-G113)/G113</f>
        <v>-4.0591086233173528E-2</v>
      </c>
      <c r="K113" s="3">
        <f>(I113-G113)/G113</f>
        <v>-3.7935932129220022E-2</v>
      </c>
      <c r="L113" s="6">
        <f>ABS(J113)</f>
        <v>4.0591086233173528E-2</v>
      </c>
      <c r="M113" s="3">
        <f>ABS(K113)</f>
        <v>3.7935932129220022E-2</v>
      </c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</row>
    <row r="114" spans="1:34" x14ac:dyDescent="0.35">
      <c r="A114">
        <v>113</v>
      </c>
      <c r="B114">
        <v>22</v>
      </c>
      <c r="C114">
        <v>78</v>
      </c>
      <c r="D114">
        <v>170</v>
      </c>
      <c r="E114" t="s">
        <v>9</v>
      </c>
      <c r="F114">
        <v>432</v>
      </c>
      <c r="G114">
        <f>530-113</f>
        <v>417</v>
      </c>
      <c r="H114">
        <v>399.20256831195002</v>
      </c>
      <c r="I114">
        <v>404.38398016493102</v>
      </c>
      <c r="J114" s="6">
        <f>(H114-G114)/G114</f>
        <v>-4.2679692297481975E-2</v>
      </c>
      <c r="K114" s="3">
        <f>(I114-G114)/G114</f>
        <v>-3.025424420879852E-2</v>
      </c>
      <c r="L114" s="6">
        <f>ABS(J114)</f>
        <v>4.2679692297481975E-2</v>
      </c>
      <c r="M114" s="3">
        <f>ABS(K114)</f>
        <v>3.025424420879852E-2</v>
      </c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</row>
    <row r="115" spans="1:34" x14ac:dyDescent="0.35">
      <c r="A115">
        <v>114</v>
      </c>
      <c r="B115">
        <v>22</v>
      </c>
      <c r="C115">
        <v>78</v>
      </c>
      <c r="D115">
        <v>170</v>
      </c>
      <c r="E115" t="s">
        <v>9</v>
      </c>
      <c r="F115">
        <v>431</v>
      </c>
      <c r="G115">
        <f>1138-713</f>
        <v>425</v>
      </c>
      <c r="H115">
        <v>398.77729815061798</v>
      </c>
      <c r="I115">
        <v>403.70274413956997</v>
      </c>
      <c r="J115" s="6">
        <f>(H115-G115)/G115</f>
        <v>-6.1700474939722402E-2</v>
      </c>
      <c r="K115" s="3">
        <f>(I115-G115)/G115</f>
        <v>-5.0111190259835361E-2</v>
      </c>
      <c r="L115" s="6">
        <f>ABS(J115)</f>
        <v>6.1700474939722402E-2</v>
      </c>
      <c r="M115" s="3">
        <f>ABS(K115)</f>
        <v>5.0111190259835361E-2</v>
      </c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</row>
    <row r="116" spans="1:34" x14ac:dyDescent="0.35">
      <c r="A116">
        <v>115</v>
      </c>
      <c r="B116">
        <v>22</v>
      </c>
      <c r="C116">
        <v>78</v>
      </c>
      <c r="D116">
        <v>170</v>
      </c>
      <c r="E116" t="s">
        <v>9</v>
      </c>
      <c r="F116">
        <v>414</v>
      </c>
      <c r="G116">
        <f>386-0</f>
        <v>386</v>
      </c>
      <c r="H116">
        <v>391.54770540796699</v>
      </c>
      <c r="I116">
        <v>392.12173170842698</v>
      </c>
      <c r="J116" s="6">
        <f>(H116-G116)/G116</f>
        <v>1.4372293803023283E-2</v>
      </c>
      <c r="K116" s="3">
        <f>(I116-G116)/G116</f>
        <v>1.5859408571054348E-2</v>
      </c>
      <c r="L116" s="6">
        <f>ABS(J116)</f>
        <v>1.4372293803023283E-2</v>
      </c>
      <c r="M116" s="3">
        <f>ABS(K116)</f>
        <v>1.5859408571054348E-2</v>
      </c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</row>
    <row r="117" spans="1:34" x14ac:dyDescent="0.35">
      <c r="A117">
        <v>116</v>
      </c>
      <c r="B117">
        <v>22</v>
      </c>
      <c r="C117">
        <v>78</v>
      </c>
      <c r="D117">
        <v>170</v>
      </c>
      <c r="E117" t="s">
        <v>9</v>
      </c>
      <c r="F117">
        <v>429</v>
      </c>
      <c r="G117">
        <f>427-0</f>
        <v>427</v>
      </c>
      <c r="H117">
        <v>397.926757827953</v>
      </c>
      <c r="I117">
        <v>402.34027208884697</v>
      </c>
      <c r="J117" s="6">
        <f>(H117-G117)/G117</f>
        <v>-6.8087218201515226E-2</v>
      </c>
      <c r="K117" s="3">
        <f>(I117-G117)/G117</f>
        <v>-5.7751119229866574E-2</v>
      </c>
      <c r="L117" s="6">
        <f>ABS(J117)</f>
        <v>6.8087218201515226E-2</v>
      </c>
      <c r="M117" s="3">
        <f>ABS(K117)</f>
        <v>5.7751119229866574E-2</v>
      </c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</row>
    <row r="118" spans="1:34" x14ac:dyDescent="0.35">
      <c r="A118">
        <v>117</v>
      </c>
      <c r="B118">
        <v>22</v>
      </c>
      <c r="C118">
        <v>78</v>
      </c>
      <c r="D118">
        <v>170</v>
      </c>
      <c r="E118" t="s">
        <v>9</v>
      </c>
      <c r="F118">
        <v>431</v>
      </c>
      <c r="G118">
        <f>1321-893</f>
        <v>428</v>
      </c>
      <c r="H118">
        <v>398.77729815061798</v>
      </c>
      <c r="I118">
        <v>403.70274413956997</v>
      </c>
      <c r="J118" s="6">
        <f>(H118-G118)/G118</f>
        <v>-6.8277340769584152E-2</v>
      </c>
      <c r="K118" s="3">
        <f>(I118-G118)/G118</f>
        <v>-5.67692893935281E-2</v>
      </c>
      <c r="L118" s="6">
        <f>ABS(J118)</f>
        <v>6.8277340769584152E-2</v>
      </c>
      <c r="M118" s="3">
        <f>ABS(K118)</f>
        <v>5.67692893935281E-2</v>
      </c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</row>
    <row r="119" spans="1:34" x14ac:dyDescent="0.35">
      <c r="A119">
        <v>118</v>
      </c>
      <c r="B119">
        <v>22</v>
      </c>
      <c r="C119">
        <v>78</v>
      </c>
      <c r="D119">
        <v>170</v>
      </c>
      <c r="E119" t="s">
        <v>9</v>
      </c>
      <c r="F119">
        <v>446</v>
      </c>
      <c r="G119">
        <f>1674-1252</f>
        <v>422</v>
      </c>
      <c r="H119">
        <v>405.15635057060399</v>
      </c>
      <c r="I119">
        <v>414.27434513640998</v>
      </c>
      <c r="J119" s="6">
        <f>(H119-G119)/G119</f>
        <v>-3.9913861207099548E-2</v>
      </c>
      <c r="K119" s="3">
        <f>(I119-G119)/G119</f>
        <v>-1.8307239013246501E-2</v>
      </c>
      <c r="L119" s="6">
        <f>ABS(J119)</f>
        <v>3.9913861207099548E-2</v>
      </c>
      <c r="M119" s="3">
        <f>ABS(K119)</f>
        <v>1.8307239013246501E-2</v>
      </c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</row>
    <row r="120" spans="1:34" x14ac:dyDescent="0.35">
      <c r="A120">
        <v>119</v>
      </c>
      <c r="B120">
        <v>22</v>
      </c>
      <c r="C120">
        <v>78</v>
      </c>
      <c r="D120">
        <v>170</v>
      </c>
      <c r="E120" t="s">
        <v>9</v>
      </c>
      <c r="F120">
        <v>415</v>
      </c>
      <c r="G120">
        <f>1039-584</f>
        <v>455</v>
      </c>
      <c r="H120">
        <v>391.97297556929999</v>
      </c>
      <c r="I120">
        <v>392.80296773378802</v>
      </c>
      <c r="J120" s="6">
        <f>(H120-G120)/G120</f>
        <v>-0.1385209328147253</v>
      </c>
      <c r="K120" s="3">
        <f>(I120-G120)/G120</f>
        <v>-0.1366967742114549</v>
      </c>
      <c r="L120" s="6">
        <f>ABS(J120)</f>
        <v>0.1385209328147253</v>
      </c>
      <c r="M120" s="3">
        <f>ABS(K120)</f>
        <v>0.1366967742114549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</row>
    <row r="121" spans="1:34" x14ac:dyDescent="0.35">
      <c r="A121">
        <v>120</v>
      </c>
      <c r="B121">
        <v>22</v>
      </c>
      <c r="C121">
        <v>78</v>
      </c>
      <c r="D121">
        <v>170</v>
      </c>
      <c r="E121" t="s">
        <v>9</v>
      </c>
      <c r="F121">
        <v>431</v>
      </c>
      <c r="G121">
        <f>1240-826</f>
        <v>414</v>
      </c>
      <c r="H121">
        <v>398.77729815061798</v>
      </c>
      <c r="I121">
        <v>403.70274413956997</v>
      </c>
      <c r="J121" s="6">
        <f>(H121-G121)/G121</f>
        <v>-3.6769811230391351E-2</v>
      </c>
      <c r="K121" s="3">
        <f>(I121-G121)/G121</f>
        <v>-2.4872598696690888E-2</v>
      </c>
      <c r="L121" s="6">
        <f>ABS(J121)</f>
        <v>3.6769811230391351E-2</v>
      </c>
      <c r="M121" s="3">
        <f>ABS(K121)</f>
        <v>2.4872598696690888E-2</v>
      </c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</row>
    <row r="122" spans="1:34" s="15" customFormat="1" x14ac:dyDescent="0.35">
      <c r="A122" s="15">
        <v>121</v>
      </c>
      <c r="B122" s="15">
        <v>22</v>
      </c>
      <c r="C122" s="15">
        <v>78</v>
      </c>
      <c r="D122" s="15">
        <v>170</v>
      </c>
      <c r="E122" s="15" t="s">
        <v>9</v>
      </c>
      <c r="F122" s="15">
        <v>696</v>
      </c>
      <c r="G122" s="15">
        <f>906-465</f>
        <v>441</v>
      </c>
      <c r="H122" s="15">
        <v>511.47389090370098</v>
      </c>
      <c r="I122" s="15">
        <v>1042.0373873292599</v>
      </c>
      <c r="N122" s="15" t="s">
        <v>23</v>
      </c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</row>
    <row r="123" spans="1:34" x14ac:dyDescent="0.35">
      <c r="A123">
        <v>122</v>
      </c>
      <c r="B123">
        <v>23</v>
      </c>
      <c r="C123">
        <v>58</v>
      </c>
      <c r="D123">
        <v>152</v>
      </c>
      <c r="E123" t="s">
        <v>10</v>
      </c>
      <c r="F123">
        <v>381</v>
      </c>
      <c r="G123">
        <f>1944-1573</f>
        <v>371</v>
      </c>
      <c r="H123">
        <v>369.20698252667103</v>
      </c>
      <c r="I123">
        <v>374.45233434342902</v>
      </c>
      <c r="J123" s="6">
        <f>(H123-G123)/G123</f>
        <v>-4.8329311949568011E-3</v>
      </c>
      <c r="K123" s="3">
        <f>(I123-G123)/G123</f>
        <v>9.3054834054690436E-3</v>
      </c>
      <c r="L123" s="6">
        <f>ABS(J123)</f>
        <v>4.8329311949568011E-3</v>
      </c>
      <c r="M123" s="3">
        <f>ABS(K123)</f>
        <v>9.3054834054690436E-3</v>
      </c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</row>
    <row r="124" spans="1:34" x14ac:dyDescent="0.35">
      <c r="A124">
        <v>123</v>
      </c>
      <c r="B124">
        <v>23</v>
      </c>
      <c r="C124">
        <v>58</v>
      </c>
      <c r="D124">
        <v>152</v>
      </c>
      <c r="E124" t="s">
        <v>10</v>
      </c>
      <c r="F124">
        <v>364</v>
      </c>
      <c r="G124">
        <f>454-88</f>
        <v>366</v>
      </c>
      <c r="H124">
        <v>361.97738978401998</v>
      </c>
      <c r="I124">
        <v>373.200215978301</v>
      </c>
      <c r="J124" s="6">
        <f>(H124-G124)/G124</f>
        <v>-1.0990738295027386E-2</v>
      </c>
      <c r="K124" s="3">
        <f>(I124-G124)/G124</f>
        <v>1.9672721252188531E-2</v>
      </c>
      <c r="L124" s="6">
        <f>ABS(J124)</f>
        <v>1.0990738295027386E-2</v>
      </c>
      <c r="M124" s="3">
        <f>ABS(K124)</f>
        <v>1.9672721252188531E-2</v>
      </c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</row>
    <row r="125" spans="1:34" x14ac:dyDescent="0.35">
      <c r="A125">
        <v>124</v>
      </c>
      <c r="B125">
        <v>23</v>
      </c>
      <c r="C125">
        <v>58</v>
      </c>
      <c r="D125">
        <v>152</v>
      </c>
      <c r="E125" t="s">
        <v>10</v>
      </c>
      <c r="F125">
        <v>381</v>
      </c>
      <c r="G125">
        <f>2857-2561</f>
        <v>296</v>
      </c>
      <c r="H125">
        <v>369.20698252667103</v>
      </c>
      <c r="I125">
        <v>374.45233434342902</v>
      </c>
      <c r="J125" s="6">
        <f>(H125-G125)/G125</f>
        <v>0.24732088691442913</v>
      </c>
      <c r="K125" s="3">
        <f>(I125-G125)/G125</f>
        <v>0.26504167007915208</v>
      </c>
      <c r="L125" s="6">
        <f>ABS(J125)</f>
        <v>0.24732088691442913</v>
      </c>
      <c r="M125" s="3">
        <f>ABS(K125)</f>
        <v>0.26504167007915208</v>
      </c>
      <c r="O125" s="20"/>
      <c r="P125" s="20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</row>
    <row r="126" spans="1:34" x14ac:dyDescent="0.35">
      <c r="A126">
        <v>125</v>
      </c>
      <c r="B126">
        <v>23</v>
      </c>
      <c r="C126">
        <v>58</v>
      </c>
      <c r="D126">
        <v>152</v>
      </c>
      <c r="E126" t="s">
        <v>10</v>
      </c>
      <c r="F126">
        <v>413</v>
      </c>
      <c r="G126">
        <f>2864-2487</f>
        <v>377</v>
      </c>
      <c r="H126">
        <v>382.81562768930701</v>
      </c>
      <c r="I126">
        <v>377.13160689805301</v>
      </c>
      <c r="J126" s="6">
        <f>(H126-G126)/G126</f>
        <v>1.5426068141397896E-2</v>
      </c>
      <c r="K126" s="3">
        <f>(I126-G126)/G126</f>
        <v>3.4908991525996717E-4</v>
      </c>
      <c r="L126" s="6">
        <f>ABS(J126)</f>
        <v>1.5426068141397896E-2</v>
      </c>
      <c r="M126" s="3">
        <f>ABS(K126)</f>
        <v>3.4908991525996717E-4</v>
      </c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</row>
    <row r="127" spans="1:34" x14ac:dyDescent="0.35">
      <c r="A127">
        <v>126</v>
      </c>
      <c r="B127">
        <v>22</v>
      </c>
      <c r="C127">
        <v>48</v>
      </c>
      <c r="D127">
        <v>153</v>
      </c>
      <c r="E127" t="s">
        <v>10</v>
      </c>
      <c r="F127">
        <v>381</v>
      </c>
      <c r="G127">
        <f>2522-2086</f>
        <v>436</v>
      </c>
      <c r="H127">
        <v>422.53518055541002</v>
      </c>
      <c r="I127">
        <v>419.25265212218801</v>
      </c>
      <c r="J127" s="6">
        <f>(H127-G127)/G127</f>
        <v>-3.0882613405022883E-2</v>
      </c>
      <c r="K127" s="3">
        <f>(I127-G127)/G127</f>
        <v>-3.8411348343605482E-2</v>
      </c>
      <c r="L127" s="6">
        <f>ABS(J127)</f>
        <v>3.0882613405022883E-2</v>
      </c>
      <c r="M127" s="3">
        <f>ABS(K127)</f>
        <v>3.8411348343605482E-2</v>
      </c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</row>
    <row r="128" spans="1:34" x14ac:dyDescent="0.35">
      <c r="A128">
        <v>127</v>
      </c>
      <c r="B128">
        <v>22</v>
      </c>
      <c r="C128">
        <v>48</v>
      </c>
      <c r="D128">
        <v>153</v>
      </c>
      <c r="E128" t="s">
        <v>10</v>
      </c>
      <c r="F128">
        <v>416</v>
      </c>
      <c r="G128">
        <f>2590-2170</f>
        <v>420</v>
      </c>
      <c r="H128">
        <v>437.41963620204399</v>
      </c>
      <c r="I128">
        <v>423.11697376363401</v>
      </c>
      <c r="J128" s="6">
        <f>(H128-G128)/G128</f>
        <v>4.1475324290580928E-2</v>
      </c>
      <c r="K128" s="3">
        <f>(I128-G128)/G128</f>
        <v>7.4213661038904939E-3</v>
      </c>
      <c r="L128" s="6">
        <f>ABS(J128)</f>
        <v>4.1475324290580928E-2</v>
      </c>
      <c r="M128" s="3">
        <f>ABS(K128)</f>
        <v>7.4213661038904939E-3</v>
      </c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</row>
    <row r="129" spans="1:34" s="15" customFormat="1" x14ac:dyDescent="0.35">
      <c r="A129" s="15">
        <v>128</v>
      </c>
      <c r="B129" s="15">
        <v>22</v>
      </c>
      <c r="C129" s="15">
        <v>48</v>
      </c>
      <c r="D129" s="15">
        <v>153</v>
      </c>
      <c r="E129" s="15" t="s">
        <v>10</v>
      </c>
      <c r="F129" s="15">
        <v>508</v>
      </c>
      <c r="G129" s="15">
        <f>2323-1924</f>
        <v>399</v>
      </c>
      <c r="H129" s="15">
        <v>476.54449104462401</v>
      </c>
      <c r="I129" s="15">
        <v>472.281435612292</v>
      </c>
      <c r="N129" s="15" t="s">
        <v>23</v>
      </c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</row>
    <row r="130" spans="1:34" s="13" customFormat="1" x14ac:dyDescent="0.35">
      <c r="A130" s="13">
        <v>129</v>
      </c>
      <c r="B130" s="13">
        <v>22</v>
      </c>
      <c r="C130" s="13">
        <v>48</v>
      </c>
      <c r="D130" s="13">
        <v>153</v>
      </c>
      <c r="E130" s="13" t="s">
        <v>10</v>
      </c>
      <c r="F130" s="13">
        <v>66</v>
      </c>
      <c r="G130" s="13">
        <f>2162-1805</f>
        <v>357</v>
      </c>
      <c r="H130" s="13">
        <v>288.57507973570802</v>
      </c>
      <c r="I130" s="13">
        <v>544.734188445923</v>
      </c>
      <c r="N130" s="13" t="s">
        <v>24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</row>
    <row r="131" spans="1:34" x14ac:dyDescent="0.35">
      <c r="A131">
        <v>130</v>
      </c>
      <c r="B131">
        <v>22</v>
      </c>
      <c r="C131">
        <v>48</v>
      </c>
      <c r="D131">
        <v>153</v>
      </c>
      <c r="E131" t="s">
        <v>10</v>
      </c>
      <c r="F131">
        <v>380</v>
      </c>
      <c r="G131">
        <f>2461-2061</f>
        <v>400</v>
      </c>
      <c r="H131">
        <v>422.10991039407799</v>
      </c>
      <c r="I131">
        <v>419.17873762237502</v>
      </c>
      <c r="J131" s="6">
        <f>(H131-G131)/G131</f>
        <v>5.5274775985194965E-2</v>
      </c>
      <c r="K131" s="3">
        <f>(I131-G131)/G131</f>
        <v>4.7946844055937562E-2</v>
      </c>
      <c r="L131" s="6">
        <f>ABS(J131)</f>
        <v>5.5274775985194965E-2</v>
      </c>
      <c r="M131" s="3">
        <f>ABS(K131)</f>
        <v>4.7946844055937562E-2</v>
      </c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</row>
    <row r="132" spans="1:34" x14ac:dyDescent="0.35">
      <c r="A132">
        <v>131</v>
      </c>
      <c r="B132">
        <v>22</v>
      </c>
      <c r="C132">
        <v>48</v>
      </c>
      <c r="D132">
        <v>153</v>
      </c>
      <c r="E132" t="s">
        <v>10</v>
      </c>
      <c r="F132">
        <v>382</v>
      </c>
      <c r="G132">
        <f>2422-2006</f>
        <v>416</v>
      </c>
      <c r="H132">
        <v>422.96045071674303</v>
      </c>
      <c r="I132">
        <v>419.32656662200202</v>
      </c>
      <c r="J132" s="6">
        <f>(H132-G132)/G132</f>
        <v>1.6731852684478427E-2</v>
      </c>
      <c r="K132" s="3">
        <f>(I132-G132)/G132</f>
        <v>7.9965543798125472E-3</v>
      </c>
      <c r="L132" s="6">
        <f>ABS(J132)</f>
        <v>1.6731852684478427E-2</v>
      </c>
      <c r="M132" s="3">
        <f>ABS(K132)</f>
        <v>7.9965543798125472E-3</v>
      </c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</row>
    <row r="133" spans="1:34" x14ac:dyDescent="0.35">
      <c r="A133">
        <v>132</v>
      </c>
      <c r="B133">
        <v>22</v>
      </c>
      <c r="C133">
        <v>48</v>
      </c>
      <c r="D133">
        <v>153</v>
      </c>
      <c r="E133" t="s">
        <v>10</v>
      </c>
      <c r="F133">
        <v>314</v>
      </c>
      <c r="G133">
        <f>2213-1805</f>
        <v>408</v>
      </c>
      <c r="H133">
        <v>394.04207974614002</v>
      </c>
      <c r="I133">
        <v>415.69813638481799</v>
      </c>
      <c r="J133" s="6">
        <f>(H133-G133)/G133</f>
        <v>-3.4210588857499953E-2</v>
      </c>
      <c r="K133" s="3">
        <f>(I133-G133)/G133</f>
        <v>1.8867981335338201E-2</v>
      </c>
      <c r="L133" s="6">
        <f>ABS(J133)</f>
        <v>3.4210588857499953E-2</v>
      </c>
      <c r="M133" s="3">
        <f>ABS(K133)</f>
        <v>1.8867981335338201E-2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</row>
    <row r="134" spans="1:34" s="15" customFormat="1" x14ac:dyDescent="0.35">
      <c r="A134" s="15">
        <v>133</v>
      </c>
      <c r="B134" s="15">
        <v>22</v>
      </c>
      <c r="C134" s="15">
        <v>48</v>
      </c>
      <c r="D134" s="15">
        <v>153</v>
      </c>
      <c r="E134" s="15" t="s">
        <v>10</v>
      </c>
      <c r="F134" s="15">
        <v>546</v>
      </c>
      <c r="G134" s="15">
        <f>2078-1620</f>
        <v>458</v>
      </c>
      <c r="H134" s="15">
        <v>492.70475717525397</v>
      </c>
      <c r="I134" s="15">
        <v>504.85454328978102</v>
      </c>
      <c r="N134" s="15" t="s">
        <v>23</v>
      </c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</row>
    <row r="135" spans="1:34" x14ac:dyDescent="0.35">
      <c r="A135">
        <v>134</v>
      </c>
      <c r="B135">
        <v>22</v>
      </c>
      <c r="C135">
        <v>48</v>
      </c>
      <c r="D135">
        <v>153</v>
      </c>
      <c r="E135" t="s">
        <v>10</v>
      </c>
      <c r="F135">
        <v>346</v>
      </c>
      <c r="G135">
        <f>2444-2034</f>
        <v>410</v>
      </c>
      <c r="H135">
        <v>407.65072490877702</v>
      </c>
      <c r="I135">
        <v>416.66564462871202</v>
      </c>
      <c r="J135" s="6">
        <f>(H135-G135)/G135</f>
        <v>-5.7299392468853124E-3</v>
      </c>
      <c r="K135" s="3">
        <f>(I135-G135)/G135</f>
        <v>1.6257669826126867E-2</v>
      </c>
      <c r="L135" s="6">
        <f>ABS(J135)</f>
        <v>5.7299392468853124E-3</v>
      </c>
      <c r="M135" s="3">
        <f>ABS(K135)</f>
        <v>1.6257669826126867E-2</v>
      </c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</row>
    <row r="136" spans="1:34" s="13" customFormat="1" x14ac:dyDescent="0.35">
      <c r="A136" s="13">
        <v>135</v>
      </c>
      <c r="B136" s="13">
        <v>22</v>
      </c>
      <c r="C136" s="13">
        <v>48</v>
      </c>
      <c r="D136" s="13">
        <v>153</v>
      </c>
      <c r="E136" s="13" t="s">
        <v>10</v>
      </c>
      <c r="F136" s="13">
        <v>34</v>
      </c>
      <c r="G136" s="13">
        <f>2165-1718</f>
        <v>447</v>
      </c>
      <c r="H136" s="13">
        <v>274.96643457307101</v>
      </c>
      <c r="I136" s="13">
        <v>572.649271119133</v>
      </c>
      <c r="N136" s="13" t="s">
        <v>24</v>
      </c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</row>
    <row r="137" spans="1:34" x14ac:dyDescent="0.35">
      <c r="A137">
        <v>136</v>
      </c>
      <c r="B137">
        <v>22</v>
      </c>
      <c r="C137">
        <v>48</v>
      </c>
      <c r="D137">
        <v>153</v>
      </c>
      <c r="E137" t="s">
        <v>10</v>
      </c>
      <c r="F137">
        <v>364</v>
      </c>
      <c r="G137">
        <f>2404-1940</f>
        <v>464</v>
      </c>
      <c r="H137">
        <v>415.30558781276</v>
      </c>
      <c r="I137">
        <v>417.99610562535702</v>
      </c>
      <c r="J137" s="6">
        <f>(H137-G137)/G137</f>
        <v>-0.10494485385181035</v>
      </c>
      <c r="K137" s="3">
        <f>(I137-G137)/G137</f>
        <v>-9.9146324083282292E-2</v>
      </c>
      <c r="L137" s="6">
        <f>ABS(J137)</f>
        <v>0.10494485385181035</v>
      </c>
      <c r="M137" s="3">
        <f>ABS(K137)</f>
        <v>9.9146324083282292E-2</v>
      </c>
      <c r="O137" s="20"/>
      <c r="P137" s="20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</row>
    <row r="138" spans="1:34" x14ac:dyDescent="0.35">
      <c r="A138">
        <v>137</v>
      </c>
      <c r="B138">
        <v>22</v>
      </c>
      <c r="C138">
        <v>48</v>
      </c>
      <c r="D138">
        <v>153</v>
      </c>
      <c r="E138" t="s">
        <v>10</v>
      </c>
      <c r="F138">
        <v>447</v>
      </c>
      <c r="G138">
        <f>2304-1875</f>
        <v>429</v>
      </c>
      <c r="H138">
        <v>450.60301120334799</v>
      </c>
      <c r="I138">
        <v>431.48047056859798</v>
      </c>
      <c r="J138" s="6">
        <f>(H138-G138)/G138</f>
        <v>5.0356669471673637E-2</v>
      </c>
      <c r="K138" s="3">
        <f>(I138-G138)/G138</f>
        <v>5.7819826773845683E-3</v>
      </c>
      <c r="L138" s="6">
        <f>ABS(J138)</f>
        <v>5.0356669471673637E-2</v>
      </c>
      <c r="M138" s="3">
        <f>ABS(K138)</f>
        <v>5.7819826773845683E-3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</row>
    <row r="139" spans="1:34" x14ac:dyDescent="0.35">
      <c r="A139">
        <v>138</v>
      </c>
      <c r="B139">
        <v>22</v>
      </c>
      <c r="C139">
        <v>48</v>
      </c>
      <c r="D139">
        <v>153</v>
      </c>
      <c r="E139" t="s">
        <v>10</v>
      </c>
      <c r="F139">
        <v>430</v>
      </c>
      <c r="G139">
        <f>2474-2041</f>
        <v>433</v>
      </c>
      <c r="H139">
        <v>443.373418460697</v>
      </c>
      <c r="I139">
        <v>426.188190997025</v>
      </c>
      <c r="J139" s="6">
        <f>(H139-G139)/G139</f>
        <v>2.3957086514311769E-2</v>
      </c>
      <c r="K139" s="3">
        <f>(I139-G139)/G139</f>
        <v>-1.5731660514953803E-2</v>
      </c>
      <c r="L139" s="6">
        <f>ABS(J139)</f>
        <v>2.3957086514311769E-2</v>
      </c>
      <c r="M139" s="3">
        <f>ABS(K139)</f>
        <v>1.5731660514953803E-2</v>
      </c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</row>
    <row r="140" spans="1:34" s="15" customFormat="1" x14ac:dyDescent="0.35">
      <c r="A140" s="15">
        <v>139</v>
      </c>
      <c r="B140" s="15">
        <v>22</v>
      </c>
      <c r="C140" s="15">
        <v>48</v>
      </c>
      <c r="D140" s="15">
        <v>153</v>
      </c>
      <c r="E140" s="15" t="s">
        <v>10</v>
      </c>
      <c r="F140" s="15">
        <v>512</v>
      </c>
      <c r="G140" s="15">
        <f>2245-1781</f>
        <v>464</v>
      </c>
      <c r="H140" s="15">
        <v>478.24557168995301</v>
      </c>
      <c r="I140" s="15">
        <v>475.61965091946502</v>
      </c>
      <c r="N140" s="15" t="s">
        <v>23</v>
      </c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</row>
    <row r="141" spans="1:34" x14ac:dyDescent="0.35">
      <c r="A141">
        <v>140</v>
      </c>
      <c r="B141">
        <v>22</v>
      </c>
      <c r="C141">
        <v>78</v>
      </c>
      <c r="D141">
        <v>170</v>
      </c>
      <c r="E141" t="s">
        <v>9</v>
      </c>
      <c r="F141">
        <v>433</v>
      </c>
      <c r="G141">
        <f>1728-1351</f>
        <v>377</v>
      </c>
      <c r="H141">
        <v>399.62783847328302</v>
      </c>
      <c r="I141">
        <v>405.06521619029201</v>
      </c>
      <c r="J141" s="6">
        <f>(H141-G141)/G141</f>
        <v>6.0020791706321013E-2</v>
      </c>
      <c r="K141" s="3">
        <f>(I141-G141)/G141</f>
        <v>7.4443544271331583E-2</v>
      </c>
      <c r="L141" s="6">
        <f>ABS(J141)</f>
        <v>6.0020791706321013E-2</v>
      </c>
      <c r="M141" s="3">
        <f>ABS(K141)</f>
        <v>7.4443544271331583E-2</v>
      </c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</row>
    <row r="142" spans="1:34" x14ac:dyDescent="0.35">
      <c r="A142">
        <v>141</v>
      </c>
      <c r="B142">
        <v>22</v>
      </c>
      <c r="C142">
        <v>78</v>
      </c>
      <c r="D142">
        <v>170</v>
      </c>
      <c r="E142" t="s">
        <v>9</v>
      </c>
      <c r="F142">
        <v>407</v>
      </c>
      <c r="G142">
        <f>363-0</f>
        <v>363</v>
      </c>
      <c r="H142">
        <v>388.57081427864102</v>
      </c>
      <c r="I142">
        <v>388.58293288684803</v>
      </c>
      <c r="J142" s="6">
        <f>(H142-G142)/G142</f>
        <v>7.0443014541710813E-2</v>
      </c>
      <c r="K142" s="3">
        <f>(I142-G142)/G142</f>
        <v>7.0476399137322385E-2</v>
      </c>
      <c r="L142" s="6">
        <f>ABS(J142)</f>
        <v>7.0443014541710813E-2</v>
      </c>
      <c r="M142" s="3">
        <f>ABS(K142)</f>
        <v>7.0476399137322385E-2</v>
      </c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</row>
    <row r="143" spans="1:34" x14ac:dyDescent="0.35">
      <c r="A143">
        <v>142</v>
      </c>
      <c r="B143">
        <v>22</v>
      </c>
      <c r="C143">
        <v>78</v>
      </c>
      <c r="D143">
        <v>170</v>
      </c>
      <c r="E143" t="s">
        <v>9</v>
      </c>
      <c r="F143">
        <v>432</v>
      </c>
      <c r="G143">
        <f>463-0</f>
        <v>463</v>
      </c>
      <c r="H143">
        <v>399.20256831195002</v>
      </c>
      <c r="I143">
        <v>404.38398016493102</v>
      </c>
      <c r="J143" s="6">
        <f>(H143-G143)/G143</f>
        <v>-0.13779142913185741</v>
      </c>
      <c r="K143" s="3">
        <f>(I143-G143)/G143</f>
        <v>-0.12660047480576453</v>
      </c>
      <c r="L143" s="6">
        <f>ABS(J143)</f>
        <v>0.13779142913185741</v>
      </c>
      <c r="M143" s="3">
        <f>ABS(K143)</f>
        <v>0.12660047480576453</v>
      </c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</row>
    <row r="144" spans="1:34" x14ac:dyDescent="0.35">
      <c r="A144">
        <v>143</v>
      </c>
      <c r="B144">
        <v>22</v>
      </c>
      <c r="C144">
        <v>78</v>
      </c>
      <c r="D144">
        <v>170</v>
      </c>
      <c r="E144" t="s">
        <v>9</v>
      </c>
      <c r="F144">
        <v>414</v>
      </c>
      <c r="G144">
        <f>912-523</f>
        <v>389</v>
      </c>
      <c r="H144">
        <v>391.54770540796699</v>
      </c>
      <c r="I144">
        <v>392.12173170842698</v>
      </c>
      <c r="J144" s="6">
        <f>(H144-G144)/G144</f>
        <v>6.5493712287069076E-3</v>
      </c>
      <c r="K144" s="3">
        <f>(I144-G144)/G144</f>
        <v>8.0250172453135687E-3</v>
      </c>
      <c r="L144" s="6">
        <f>ABS(J144)</f>
        <v>6.5493712287069076E-3</v>
      </c>
      <c r="M144" s="3">
        <f>ABS(K144)</f>
        <v>8.0250172453135687E-3</v>
      </c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</row>
    <row r="145" spans="1:34" x14ac:dyDescent="0.35">
      <c r="A145">
        <v>144</v>
      </c>
      <c r="B145">
        <v>22</v>
      </c>
      <c r="C145">
        <v>78</v>
      </c>
      <c r="D145">
        <v>170</v>
      </c>
      <c r="E145" t="s">
        <v>9</v>
      </c>
      <c r="F145">
        <v>416</v>
      </c>
      <c r="G145">
        <f>860-484</f>
        <v>376</v>
      </c>
      <c r="H145">
        <v>392.39824573063203</v>
      </c>
      <c r="I145">
        <v>393.48420375914901</v>
      </c>
      <c r="J145" s="6">
        <f>(H145-G145)/G145</f>
        <v>4.3612355666574537E-2</v>
      </c>
      <c r="K145" s="3">
        <f>(I145-G145)/G145</f>
        <v>4.6500541912630346E-2</v>
      </c>
      <c r="L145" s="6">
        <f>ABS(J145)</f>
        <v>4.3612355666574537E-2</v>
      </c>
      <c r="M145" s="3">
        <f>ABS(K145)</f>
        <v>4.6500541912630346E-2</v>
      </c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</row>
    <row r="146" spans="1:34" x14ac:dyDescent="0.35">
      <c r="A146">
        <v>145</v>
      </c>
      <c r="B146">
        <v>22</v>
      </c>
      <c r="C146">
        <v>78</v>
      </c>
      <c r="D146">
        <v>170</v>
      </c>
      <c r="E146" t="s">
        <v>9</v>
      </c>
      <c r="F146">
        <v>431</v>
      </c>
      <c r="G146">
        <f>1446-1054</f>
        <v>392</v>
      </c>
      <c r="H146">
        <v>398.77729815061798</v>
      </c>
      <c r="I146">
        <v>403.70274413956997</v>
      </c>
      <c r="J146" s="6">
        <f>(H146-G146)/G146</f>
        <v>1.7289025894433624E-2</v>
      </c>
      <c r="K146" s="3">
        <f>(I146-G146)/G146</f>
        <v>2.9853939131556054E-2</v>
      </c>
      <c r="L146" s="6">
        <f>ABS(J146)</f>
        <v>1.7289025894433624E-2</v>
      </c>
      <c r="M146" s="3">
        <f>ABS(K146)</f>
        <v>2.9853939131556054E-2</v>
      </c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</row>
    <row r="147" spans="1:34" x14ac:dyDescent="0.35">
      <c r="A147">
        <v>146</v>
      </c>
      <c r="B147">
        <v>22</v>
      </c>
      <c r="C147">
        <v>78</v>
      </c>
      <c r="D147">
        <v>170</v>
      </c>
      <c r="E147" t="s">
        <v>9</v>
      </c>
      <c r="F147">
        <v>429</v>
      </c>
      <c r="G147">
        <f>662-256</f>
        <v>406</v>
      </c>
      <c r="H147">
        <v>397.926757827953</v>
      </c>
      <c r="I147">
        <v>402.34027208884697</v>
      </c>
      <c r="J147" s="6">
        <f>(H147-G147)/G147</f>
        <v>-1.988483293607636E-2</v>
      </c>
      <c r="K147" s="3">
        <f>(I147-G147)/G147</f>
        <v>-9.0141081555493267E-3</v>
      </c>
      <c r="L147" s="6">
        <f>ABS(J147)</f>
        <v>1.988483293607636E-2</v>
      </c>
      <c r="M147" s="3">
        <f>ABS(K147)</f>
        <v>9.0141081555493267E-3</v>
      </c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</row>
    <row r="148" spans="1:34" x14ac:dyDescent="0.35">
      <c r="A148">
        <v>147</v>
      </c>
      <c r="B148">
        <v>22</v>
      </c>
      <c r="C148">
        <v>78</v>
      </c>
      <c r="D148">
        <v>170</v>
      </c>
      <c r="E148" t="s">
        <v>9</v>
      </c>
      <c r="F148">
        <v>433</v>
      </c>
      <c r="G148">
        <f>1263-890</f>
        <v>373</v>
      </c>
      <c r="H148">
        <v>399.62783847328302</v>
      </c>
      <c r="I148">
        <v>405.06521619029201</v>
      </c>
      <c r="J148" s="6">
        <f>(H148-G148)/G148</f>
        <v>7.1388306898882092E-2</v>
      </c>
      <c r="K148" s="3">
        <f>(I148-G148)/G148</f>
        <v>8.5965727051721189E-2</v>
      </c>
      <c r="L148" s="6">
        <f>ABS(J148)</f>
        <v>7.1388306898882092E-2</v>
      </c>
      <c r="M148" s="3">
        <f>ABS(K148)</f>
        <v>8.5965727051721189E-2</v>
      </c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</row>
    <row r="149" spans="1:34" x14ac:dyDescent="0.35">
      <c r="A149">
        <v>148</v>
      </c>
      <c r="B149">
        <v>22</v>
      </c>
      <c r="C149">
        <v>78</v>
      </c>
      <c r="D149">
        <v>170</v>
      </c>
      <c r="E149" t="s">
        <v>9</v>
      </c>
      <c r="F149">
        <v>414</v>
      </c>
      <c r="G149">
        <f>859-455</f>
        <v>404</v>
      </c>
      <c r="H149">
        <v>391.54770540796699</v>
      </c>
      <c r="I149">
        <v>392.12173170842698</v>
      </c>
      <c r="J149" s="6">
        <f>(H149-G149)/G149</f>
        <v>-3.0822511366418347E-2</v>
      </c>
      <c r="K149" s="3">
        <f>(I149-G149)/G149</f>
        <v>-2.9401654187061935E-2</v>
      </c>
      <c r="L149" s="6">
        <f>ABS(J149)</f>
        <v>3.0822511366418347E-2</v>
      </c>
      <c r="M149" s="3">
        <f>ABS(K149)</f>
        <v>2.9401654187061935E-2</v>
      </c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</row>
    <row r="150" spans="1:34" x14ac:dyDescent="0.35">
      <c r="A150">
        <v>149</v>
      </c>
      <c r="B150">
        <v>22</v>
      </c>
      <c r="C150">
        <v>78</v>
      </c>
      <c r="D150">
        <v>170</v>
      </c>
      <c r="E150" t="s">
        <v>9</v>
      </c>
      <c r="F150">
        <v>416</v>
      </c>
      <c r="G150">
        <f>1276-880</f>
        <v>396</v>
      </c>
      <c r="H150">
        <v>392.39824573063203</v>
      </c>
      <c r="I150">
        <v>393.48420375914901</v>
      </c>
      <c r="J150" s="6">
        <f>(H150-G150)/G150</f>
        <v>-9.0953390640605373E-3</v>
      </c>
      <c r="K150" s="3">
        <f>(I150-G150)/G150</f>
        <v>-6.3530208102297696E-3</v>
      </c>
      <c r="L150" s="6">
        <f>ABS(J150)</f>
        <v>9.0953390640605373E-3</v>
      </c>
      <c r="M150" s="3">
        <f>ABS(K150)</f>
        <v>6.3530208102297696E-3</v>
      </c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</row>
    <row r="151" spans="1:34" x14ac:dyDescent="0.35">
      <c r="A151">
        <v>150</v>
      </c>
      <c r="B151">
        <v>22</v>
      </c>
      <c r="C151">
        <v>78</v>
      </c>
      <c r="D151">
        <v>170</v>
      </c>
      <c r="E151" t="s">
        <v>9</v>
      </c>
      <c r="F151">
        <v>417</v>
      </c>
      <c r="G151">
        <f>1320-954</f>
        <v>366</v>
      </c>
      <c r="H151">
        <v>392.82351589196497</v>
      </c>
      <c r="I151">
        <v>394.16543978451102</v>
      </c>
      <c r="J151" s="6">
        <f>(H151-G151)/G151</f>
        <v>7.328829478678954E-2</v>
      </c>
      <c r="K151" s="3">
        <f>(I151-G151)/G151</f>
        <v>7.6954753509592952E-2</v>
      </c>
      <c r="L151" s="6">
        <f>ABS(J151)</f>
        <v>7.328829478678954E-2</v>
      </c>
      <c r="M151" s="3">
        <f>ABS(K151)</f>
        <v>7.6954753509592952E-2</v>
      </c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</row>
    <row r="152" spans="1:34" x14ac:dyDescent="0.35">
      <c r="A152">
        <v>151</v>
      </c>
      <c r="B152">
        <v>22</v>
      </c>
      <c r="C152">
        <v>78</v>
      </c>
      <c r="D152">
        <v>170</v>
      </c>
      <c r="E152" t="s">
        <v>9</v>
      </c>
      <c r="F152">
        <v>431</v>
      </c>
      <c r="G152">
        <f>909-499</f>
        <v>410</v>
      </c>
      <c r="H152">
        <v>398.77729815061798</v>
      </c>
      <c r="I152">
        <v>403.70274413956997</v>
      </c>
      <c r="J152" s="6">
        <f>(H152-G152)/G152</f>
        <v>-2.7372443535078096E-2</v>
      </c>
      <c r="K152" s="3">
        <f>(I152-G152)/G152</f>
        <v>-1.5359160635195188E-2</v>
      </c>
      <c r="L152" s="6">
        <f>ABS(J152)</f>
        <v>2.7372443535078096E-2</v>
      </c>
      <c r="M152" s="3">
        <f>ABS(K152)</f>
        <v>1.5359160635195188E-2</v>
      </c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</row>
    <row r="153" spans="1:34" x14ac:dyDescent="0.35">
      <c r="A153">
        <v>152</v>
      </c>
      <c r="B153">
        <v>22</v>
      </c>
      <c r="C153">
        <v>78</v>
      </c>
      <c r="D153">
        <v>170</v>
      </c>
      <c r="E153" t="s">
        <v>9</v>
      </c>
      <c r="F153">
        <v>431</v>
      </c>
      <c r="G153">
        <f>1153-740</f>
        <v>413</v>
      </c>
      <c r="H153">
        <v>398.77729815061798</v>
      </c>
      <c r="I153">
        <v>403.70274413956997</v>
      </c>
      <c r="J153" s="6">
        <f>(H153-G153)/G153</f>
        <v>-3.443753474426639E-2</v>
      </c>
      <c r="K153" s="3">
        <f>(I153-G153)/G153</f>
        <v>-2.2511515400556969E-2</v>
      </c>
      <c r="L153" s="6">
        <f>ABS(J153)</f>
        <v>3.443753474426639E-2</v>
      </c>
      <c r="M153" s="3">
        <f>ABS(K153)</f>
        <v>2.2511515400556969E-2</v>
      </c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</row>
    <row r="154" spans="1:34" x14ac:dyDescent="0.35">
      <c r="A154">
        <v>153</v>
      </c>
      <c r="B154">
        <v>22</v>
      </c>
      <c r="C154">
        <v>78</v>
      </c>
      <c r="D154">
        <v>170</v>
      </c>
      <c r="E154" t="s">
        <v>9</v>
      </c>
      <c r="F154">
        <v>415</v>
      </c>
      <c r="G154">
        <f>870-459</f>
        <v>411</v>
      </c>
      <c r="H154">
        <v>391.97297556929999</v>
      </c>
      <c r="I154">
        <v>392.80296773378802</v>
      </c>
      <c r="J154" s="6">
        <f>(H154-G154)/G154</f>
        <v>-4.629446333503652E-2</v>
      </c>
      <c r="K154" s="3">
        <f>(I154-G154)/G154</f>
        <v>-4.4275017679347876E-2</v>
      </c>
      <c r="L154" s="6">
        <f>ABS(J154)</f>
        <v>4.629446333503652E-2</v>
      </c>
      <c r="M154" s="3">
        <f>ABS(K154)</f>
        <v>4.4275017679347876E-2</v>
      </c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</row>
    <row r="155" spans="1:34" x14ac:dyDescent="0.35">
      <c r="A155">
        <v>154</v>
      </c>
      <c r="B155">
        <v>22</v>
      </c>
      <c r="C155">
        <v>78</v>
      </c>
      <c r="D155">
        <v>170</v>
      </c>
      <c r="E155" t="s">
        <v>9</v>
      </c>
      <c r="F155">
        <v>431</v>
      </c>
      <c r="G155">
        <f>354-0</f>
        <v>354</v>
      </c>
      <c r="H155">
        <v>398.77729815061798</v>
      </c>
      <c r="I155">
        <v>403.70274413956997</v>
      </c>
      <c r="J155" s="6">
        <f>(H155-G155)/G155</f>
        <v>0.12648954279835586</v>
      </c>
      <c r="K155" s="3">
        <f>(I155-G155)/G155</f>
        <v>0.14040323203268354</v>
      </c>
      <c r="L155" s="6">
        <f>ABS(J155)</f>
        <v>0.12648954279835586</v>
      </c>
      <c r="M155" s="3">
        <f>ABS(K155)</f>
        <v>0.14040323203268354</v>
      </c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</row>
    <row r="156" spans="1:34" x14ac:dyDescent="0.35">
      <c r="A156">
        <v>155</v>
      </c>
      <c r="B156">
        <v>22</v>
      </c>
      <c r="C156">
        <v>78</v>
      </c>
      <c r="D156">
        <v>170</v>
      </c>
      <c r="E156" t="s">
        <v>9</v>
      </c>
      <c r="F156">
        <v>398</v>
      </c>
      <c r="G156">
        <f>539-186</f>
        <v>353</v>
      </c>
      <c r="H156">
        <v>384.743382826649</v>
      </c>
      <c r="I156">
        <v>384.63779264278401</v>
      </c>
      <c r="J156" s="6">
        <f>(H156-G156)/G156</f>
        <v>8.9924597242631715E-2</v>
      </c>
      <c r="K156" s="3">
        <f>(I156-G156)/G156</f>
        <v>8.9625474908736569E-2</v>
      </c>
      <c r="L156" s="6">
        <f>ABS(J156)</f>
        <v>8.9924597242631715E-2</v>
      </c>
      <c r="M156" s="3">
        <f>ABS(K156)</f>
        <v>8.9625474908736569E-2</v>
      </c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</row>
    <row r="157" spans="1:34" x14ac:dyDescent="0.35">
      <c r="A157">
        <v>156</v>
      </c>
      <c r="B157">
        <v>22</v>
      </c>
      <c r="C157">
        <v>78</v>
      </c>
      <c r="D157">
        <v>170</v>
      </c>
      <c r="E157" t="s">
        <v>9</v>
      </c>
      <c r="F157">
        <v>431</v>
      </c>
      <c r="G157">
        <f>526-112</f>
        <v>414</v>
      </c>
      <c r="H157">
        <v>398.77729815061798</v>
      </c>
      <c r="I157">
        <v>403.70274413956997</v>
      </c>
      <c r="J157" s="6">
        <f>(H157-G157)/G157</f>
        <v>-3.6769811230391351E-2</v>
      </c>
      <c r="K157" s="3">
        <f>(I157-G157)/G157</f>
        <v>-2.4872598696690888E-2</v>
      </c>
      <c r="L157" s="6">
        <f>ABS(J157)</f>
        <v>3.6769811230391351E-2</v>
      </c>
      <c r="M157" s="3">
        <f>ABS(K157)</f>
        <v>2.4872598696690888E-2</v>
      </c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</row>
    <row r="158" spans="1:34" x14ac:dyDescent="0.35">
      <c r="A158">
        <v>157</v>
      </c>
      <c r="B158">
        <v>22</v>
      </c>
      <c r="C158">
        <v>78</v>
      </c>
      <c r="D158">
        <v>170</v>
      </c>
      <c r="E158" t="s">
        <v>9</v>
      </c>
      <c r="F158">
        <v>413</v>
      </c>
      <c r="G158">
        <f>348-0</f>
        <v>348</v>
      </c>
      <c r="H158">
        <v>391.12243524663501</v>
      </c>
      <c r="I158">
        <v>391.473227306642</v>
      </c>
      <c r="J158" s="6">
        <f>(H158-G158)/G158</f>
        <v>0.12391504381216956</v>
      </c>
      <c r="K158" s="3">
        <f>(I158-G158)/G158</f>
        <v>0.1249230669731092</v>
      </c>
      <c r="L158" s="6">
        <f>ABS(J158)</f>
        <v>0.12391504381216956</v>
      </c>
      <c r="M158" s="3">
        <f>ABS(K158)</f>
        <v>0.1249230669731092</v>
      </c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</row>
    <row r="159" spans="1:34" x14ac:dyDescent="0.35">
      <c r="A159">
        <v>158</v>
      </c>
      <c r="B159">
        <v>22</v>
      </c>
      <c r="C159">
        <v>78</v>
      </c>
      <c r="D159">
        <v>170</v>
      </c>
      <c r="E159" t="s">
        <v>9</v>
      </c>
      <c r="F159">
        <v>413</v>
      </c>
      <c r="G159">
        <f>445-70</f>
        <v>375</v>
      </c>
      <c r="H159">
        <v>391.12243524663501</v>
      </c>
      <c r="I159">
        <v>391.473227306642</v>
      </c>
      <c r="J159" s="6">
        <f>(H159-G159)/G159</f>
        <v>4.2993160657693354E-2</v>
      </c>
      <c r="K159" s="3">
        <f>(I159-G159)/G159</f>
        <v>4.3928606151045338E-2</v>
      </c>
      <c r="L159" s="6">
        <f>ABS(J159)</f>
        <v>4.2993160657693354E-2</v>
      </c>
      <c r="M159" s="3">
        <f>ABS(K159)</f>
        <v>4.3928606151045338E-2</v>
      </c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</row>
    <row r="160" spans="1:34" x14ac:dyDescent="0.35">
      <c r="A160">
        <v>159</v>
      </c>
      <c r="B160">
        <v>22</v>
      </c>
      <c r="C160">
        <v>78</v>
      </c>
      <c r="D160">
        <v>170</v>
      </c>
      <c r="E160" t="s">
        <v>9</v>
      </c>
      <c r="F160">
        <v>398</v>
      </c>
      <c r="G160">
        <f>1236-877</f>
        <v>359</v>
      </c>
      <c r="H160">
        <v>384.743382826649</v>
      </c>
      <c r="I160">
        <v>384.63779264278401</v>
      </c>
      <c r="J160" s="6">
        <f>(H160-G160)/G160</f>
        <v>7.1708587260860712E-2</v>
      </c>
      <c r="K160" s="3">
        <f>(I160-G160)/G160</f>
        <v>7.1414464186027871E-2</v>
      </c>
      <c r="L160" s="6">
        <f>ABS(J160)</f>
        <v>7.1708587260860712E-2</v>
      </c>
      <c r="M160" s="3">
        <f>ABS(K160)</f>
        <v>7.1414464186027871E-2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</row>
    <row r="161" spans="1:34" x14ac:dyDescent="0.35">
      <c r="A161">
        <v>160</v>
      </c>
      <c r="B161">
        <v>22</v>
      </c>
      <c r="C161">
        <v>78</v>
      </c>
      <c r="D161">
        <v>170</v>
      </c>
      <c r="E161" t="s">
        <v>9</v>
      </c>
      <c r="F161">
        <v>415</v>
      </c>
      <c r="G161">
        <f>394-0</f>
        <v>394</v>
      </c>
      <c r="H161">
        <v>391.97297556929999</v>
      </c>
      <c r="I161">
        <v>392.80296773378802</v>
      </c>
      <c r="J161" s="6">
        <f>(H161-G161)/G161</f>
        <v>-5.144732057614238E-3</v>
      </c>
      <c r="K161" s="3">
        <f>(I161-G161)/G161</f>
        <v>-3.0381529599288757E-3</v>
      </c>
      <c r="L161" s="6">
        <f>ABS(J161)</f>
        <v>5.144732057614238E-3</v>
      </c>
      <c r="M161" s="3">
        <f>ABS(K161)</f>
        <v>3.0381529599288757E-3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</row>
    <row r="162" spans="1:34" x14ac:dyDescent="0.35">
      <c r="A162">
        <v>161</v>
      </c>
      <c r="B162">
        <v>22</v>
      </c>
      <c r="C162">
        <v>78</v>
      </c>
      <c r="D162">
        <v>170</v>
      </c>
      <c r="E162" t="s">
        <v>9</v>
      </c>
      <c r="F162">
        <v>417</v>
      </c>
      <c r="G162">
        <f>496-88</f>
        <v>408</v>
      </c>
      <c r="H162">
        <v>392.82351589196497</v>
      </c>
      <c r="I162">
        <v>394.16543978451102</v>
      </c>
      <c r="J162" s="6">
        <f>(H162-G162)/G162</f>
        <v>-3.7197264970674083E-2</v>
      </c>
      <c r="K162" s="3">
        <f>(I162-G162)/G162</f>
        <v>-3.3908235822276908E-2</v>
      </c>
      <c r="L162" s="6">
        <f>ABS(J162)</f>
        <v>3.7197264970674083E-2</v>
      </c>
      <c r="M162" s="3">
        <f>ABS(K162)</f>
        <v>3.3908235822276908E-2</v>
      </c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</row>
    <row r="163" spans="1:34" x14ac:dyDescent="0.35">
      <c r="A163">
        <v>162</v>
      </c>
      <c r="B163">
        <v>22</v>
      </c>
      <c r="C163">
        <v>78</v>
      </c>
      <c r="D163">
        <v>170</v>
      </c>
      <c r="E163" t="s">
        <v>9</v>
      </c>
      <c r="F163">
        <v>381</v>
      </c>
      <c r="G163">
        <f>420-92</f>
        <v>328</v>
      </c>
      <c r="H163">
        <v>377.51379008399903</v>
      </c>
      <c r="I163">
        <v>378.06429408613297</v>
      </c>
      <c r="J163" s="6">
        <f>(H163-G163)/G163</f>
        <v>0.15095667708536289</v>
      </c>
      <c r="K163" s="3">
        <f>(I163-G163)/G163</f>
        <v>0.15263504294552735</v>
      </c>
      <c r="L163" s="6">
        <f>ABS(J163)</f>
        <v>0.15095667708536289</v>
      </c>
      <c r="M163" s="3">
        <f>ABS(K163)</f>
        <v>0.15263504294552735</v>
      </c>
      <c r="O163" s="20"/>
      <c r="P163" s="20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</row>
    <row r="164" spans="1:34" x14ac:dyDescent="0.35">
      <c r="A164">
        <v>163</v>
      </c>
      <c r="B164">
        <v>22</v>
      </c>
      <c r="C164">
        <v>78</v>
      </c>
      <c r="D164">
        <v>170</v>
      </c>
      <c r="E164" t="s">
        <v>9</v>
      </c>
      <c r="F164">
        <v>427</v>
      </c>
      <c r="G164">
        <f>769-335</f>
        <v>434</v>
      </c>
      <c r="H164">
        <v>397.07621750528801</v>
      </c>
      <c r="I164">
        <v>400.97780003812397</v>
      </c>
      <c r="J164" s="6">
        <f>(H164-G164)/G164</f>
        <v>-8.5077839849566794E-2</v>
      </c>
      <c r="K164" s="3">
        <f>(I164-G164)/G164</f>
        <v>-7.6088018345336461E-2</v>
      </c>
      <c r="L164" s="6">
        <f>ABS(J164)</f>
        <v>8.5077839849566794E-2</v>
      </c>
      <c r="M164" s="3">
        <f>ABS(K164)</f>
        <v>7.6088018345336461E-2</v>
      </c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</row>
    <row r="165" spans="1:34" x14ac:dyDescent="0.35">
      <c r="A165">
        <v>164</v>
      </c>
      <c r="B165">
        <v>22</v>
      </c>
      <c r="C165">
        <v>78</v>
      </c>
      <c r="D165">
        <v>170</v>
      </c>
      <c r="E165" t="s">
        <v>9</v>
      </c>
      <c r="F165">
        <v>432</v>
      </c>
      <c r="G165">
        <f>710-311</f>
        <v>399</v>
      </c>
      <c r="H165">
        <v>399.20256831195002</v>
      </c>
      <c r="I165">
        <v>404.38398016493102</v>
      </c>
      <c r="J165" s="6">
        <f>(H165-G165)/G165</f>
        <v>5.0769000488726126E-4</v>
      </c>
      <c r="K165" s="3">
        <f>(I165-G165)/G165</f>
        <v>1.3493684623887262E-2</v>
      </c>
      <c r="L165" s="6">
        <f>ABS(J165)</f>
        <v>5.0769000488726126E-4</v>
      </c>
      <c r="M165" s="3">
        <f>ABS(K165)</f>
        <v>1.3493684623887262E-2</v>
      </c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</row>
    <row r="166" spans="1:34" x14ac:dyDescent="0.35">
      <c r="A166">
        <v>165</v>
      </c>
      <c r="B166">
        <v>22</v>
      </c>
      <c r="C166">
        <v>78</v>
      </c>
      <c r="D166">
        <v>170</v>
      </c>
      <c r="E166" t="s">
        <v>9</v>
      </c>
      <c r="F166">
        <v>415</v>
      </c>
      <c r="G166">
        <f>1062-632</f>
        <v>430</v>
      </c>
      <c r="H166">
        <v>391.97297556929999</v>
      </c>
      <c r="I166">
        <v>392.80296773378802</v>
      </c>
      <c r="J166" s="6">
        <f>(H166-G166)/G166</f>
        <v>-8.8434940536511644E-2</v>
      </c>
      <c r="K166" s="3">
        <f>(I166-G166)/G166</f>
        <v>-8.6504726200492973E-2</v>
      </c>
      <c r="L166" s="6">
        <f>ABS(J166)</f>
        <v>8.8434940536511644E-2</v>
      </c>
      <c r="M166" s="3">
        <f>ABS(K166)</f>
        <v>8.6504726200492973E-2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</row>
    <row r="167" spans="1:34" x14ac:dyDescent="0.35">
      <c r="A167">
        <v>166</v>
      </c>
      <c r="B167">
        <v>22</v>
      </c>
      <c r="C167">
        <v>78</v>
      </c>
      <c r="D167">
        <v>170</v>
      </c>
      <c r="E167" t="s">
        <v>9</v>
      </c>
      <c r="F167">
        <v>381</v>
      </c>
      <c r="G167">
        <f>376-0</f>
        <v>376</v>
      </c>
      <c r="H167">
        <v>377.51379008399903</v>
      </c>
      <c r="I167">
        <v>378.06429408613297</v>
      </c>
      <c r="J167" s="6">
        <f>(H167-G167)/G167</f>
        <v>4.0260374574442193E-3</v>
      </c>
      <c r="K167" s="3">
        <f>(I167-G167)/G167</f>
        <v>5.4901438460983375E-3</v>
      </c>
      <c r="L167" s="6">
        <f>ABS(J167)</f>
        <v>4.0260374574442193E-3</v>
      </c>
      <c r="M167" s="3">
        <f>ABS(K167)</f>
        <v>5.4901438460983375E-3</v>
      </c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</row>
    <row r="168" spans="1:34" x14ac:dyDescent="0.35">
      <c r="A168">
        <v>167</v>
      </c>
      <c r="B168">
        <v>22</v>
      </c>
      <c r="C168">
        <v>78</v>
      </c>
      <c r="D168">
        <v>170</v>
      </c>
      <c r="E168" t="s">
        <v>9</v>
      </c>
      <c r="F168">
        <v>382</v>
      </c>
      <c r="G168">
        <f>1460-1118</f>
        <v>342</v>
      </c>
      <c r="H168">
        <v>377.93906024533101</v>
      </c>
      <c r="I168">
        <v>378.421296858733</v>
      </c>
      <c r="J168" s="6">
        <f>(H168-G168)/G168</f>
        <v>0.10508497147757605</v>
      </c>
      <c r="K168" s="3">
        <f>(I168-G168)/G168</f>
        <v>0.10649502005477486</v>
      </c>
      <c r="L168" s="6">
        <f>ABS(J168)</f>
        <v>0.10508497147757605</v>
      </c>
      <c r="M168" s="3">
        <f>ABS(K168)</f>
        <v>0.10649502005477486</v>
      </c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</row>
    <row r="169" spans="1:34" x14ac:dyDescent="0.35">
      <c r="A169">
        <v>168</v>
      </c>
      <c r="B169">
        <v>22</v>
      </c>
      <c r="C169">
        <v>78</v>
      </c>
      <c r="D169">
        <v>170</v>
      </c>
      <c r="E169" t="s">
        <v>9</v>
      </c>
      <c r="F169">
        <v>415</v>
      </c>
      <c r="G169">
        <f>811-433</f>
        <v>378</v>
      </c>
      <c r="H169">
        <v>391.97297556929999</v>
      </c>
      <c r="I169">
        <v>392.80296773378802</v>
      </c>
      <c r="J169" s="6">
        <f>(H169-G169)/G169</f>
        <v>3.6965543834126958E-2</v>
      </c>
      <c r="K169" s="3">
        <f>(I169-G169)/G169</f>
        <v>3.9161290301026518E-2</v>
      </c>
      <c r="L169" s="6">
        <f>ABS(J169)</f>
        <v>3.6965543834126958E-2</v>
      </c>
      <c r="M169" s="3">
        <f>ABS(K169)</f>
        <v>3.9161290301026518E-2</v>
      </c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</row>
    <row r="170" spans="1:34" x14ac:dyDescent="0.35">
      <c r="A170">
        <v>169</v>
      </c>
      <c r="B170">
        <v>22</v>
      </c>
      <c r="C170">
        <v>78</v>
      </c>
      <c r="D170">
        <v>170</v>
      </c>
      <c r="E170" t="s">
        <v>9</v>
      </c>
      <c r="F170">
        <v>399</v>
      </c>
      <c r="G170">
        <f>1151-782</f>
        <v>369</v>
      </c>
      <c r="H170">
        <v>385.168652987982</v>
      </c>
      <c r="I170">
        <v>385.068537446704</v>
      </c>
      <c r="J170" s="6">
        <f>(H170-G170)/G170</f>
        <v>4.3817487772308941E-2</v>
      </c>
      <c r="K170" s="3">
        <f>(I170-G170)/G170</f>
        <v>4.3546171942287264E-2</v>
      </c>
      <c r="L170" s="6">
        <f>ABS(J170)</f>
        <v>4.3817487772308941E-2</v>
      </c>
      <c r="M170" s="3">
        <f>ABS(K170)</f>
        <v>4.3546171942287264E-2</v>
      </c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</row>
    <row r="171" spans="1:34" x14ac:dyDescent="0.35">
      <c r="A171">
        <v>170</v>
      </c>
      <c r="B171">
        <v>22</v>
      </c>
      <c r="C171">
        <v>78</v>
      </c>
      <c r="D171">
        <v>170</v>
      </c>
      <c r="E171" t="s">
        <v>9</v>
      </c>
      <c r="F171">
        <v>431</v>
      </c>
      <c r="G171">
        <f>468-102</f>
        <v>366</v>
      </c>
      <c r="H171">
        <v>398.77729815061798</v>
      </c>
      <c r="I171">
        <v>403.70274413956997</v>
      </c>
      <c r="J171" s="6">
        <f>(H171-G171)/G171</f>
        <v>8.9555459427917983E-2</v>
      </c>
      <c r="K171" s="3">
        <f>(I171-G171)/G171</f>
        <v>0.1030129621299726</v>
      </c>
      <c r="L171" s="6">
        <f>ABS(J171)</f>
        <v>8.9555459427917983E-2</v>
      </c>
      <c r="M171" s="3">
        <f>ABS(K171)</f>
        <v>0.1030129621299726</v>
      </c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</row>
    <row r="172" spans="1:34" x14ac:dyDescent="0.35">
      <c r="A172">
        <v>171</v>
      </c>
      <c r="B172">
        <v>22</v>
      </c>
      <c r="C172">
        <v>78</v>
      </c>
      <c r="D172">
        <v>170</v>
      </c>
      <c r="E172" t="s">
        <v>9</v>
      </c>
      <c r="F172">
        <v>398</v>
      </c>
      <c r="G172">
        <f>1068-720</f>
        <v>348</v>
      </c>
      <c r="H172">
        <v>384.743382826649</v>
      </c>
      <c r="I172">
        <v>384.63779264278401</v>
      </c>
      <c r="J172" s="6">
        <f>(H172-G172)/G172</f>
        <v>0.10558443340991092</v>
      </c>
      <c r="K172" s="3">
        <f>(I172-G172)/G172</f>
        <v>0.10528101334133336</v>
      </c>
      <c r="L172" s="6">
        <f>ABS(J172)</f>
        <v>0.10558443340991092</v>
      </c>
      <c r="M172" s="3">
        <f>ABS(K172)</f>
        <v>0.10528101334133336</v>
      </c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</row>
    <row r="173" spans="1:34" x14ac:dyDescent="0.35">
      <c r="A173">
        <v>172</v>
      </c>
      <c r="B173">
        <v>22</v>
      </c>
      <c r="C173">
        <v>78</v>
      </c>
      <c r="D173">
        <v>170</v>
      </c>
      <c r="E173" t="s">
        <v>9</v>
      </c>
      <c r="F173">
        <v>415</v>
      </c>
      <c r="G173">
        <f>768-350</f>
        <v>418</v>
      </c>
      <c r="H173">
        <v>391.97297556929999</v>
      </c>
      <c r="I173">
        <v>392.80296773378802</v>
      </c>
      <c r="J173" s="6">
        <f>(H173-G173)/G173</f>
        <v>-6.2265608685885189E-2</v>
      </c>
      <c r="K173" s="3">
        <f>(I173-G173)/G173</f>
        <v>-6.0279981498114775E-2</v>
      </c>
      <c r="L173" s="6">
        <f>ABS(J173)</f>
        <v>6.2265608685885189E-2</v>
      </c>
      <c r="M173" s="3">
        <f>ABS(K173)</f>
        <v>6.0279981498114775E-2</v>
      </c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</row>
    <row r="174" spans="1:34" x14ac:dyDescent="0.35">
      <c r="A174">
        <v>173</v>
      </c>
      <c r="B174">
        <v>22</v>
      </c>
      <c r="C174">
        <v>78</v>
      </c>
      <c r="D174">
        <v>170</v>
      </c>
      <c r="E174" t="s">
        <v>9</v>
      </c>
      <c r="F174">
        <v>382</v>
      </c>
      <c r="G174">
        <f>968-600</f>
        <v>368</v>
      </c>
      <c r="H174">
        <v>377.93906024533101</v>
      </c>
      <c r="I174">
        <v>378.421296858733</v>
      </c>
      <c r="J174" s="6">
        <f>(H174-G174)/G174</f>
        <v>2.7008315884051649E-2</v>
      </c>
      <c r="K174" s="3">
        <f>(I174-G174)/G174</f>
        <v>2.8318741463948371E-2</v>
      </c>
      <c r="L174" s="6">
        <f>ABS(J174)</f>
        <v>2.7008315884051649E-2</v>
      </c>
      <c r="M174" s="3">
        <f>ABS(K174)</f>
        <v>2.8318741463948371E-2</v>
      </c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</row>
    <row r="175" spans="1:34" x14ac:dyDescent="0.35">
      <c r="A175">
        <v>174</v>
      </c>
      <c r="B175">
        <v>22</v>
      </c>
      <c r="C175">
        <v>78</v>
      </c>
      <c r="D175">
        <v>170</v>
      </c>
      <c r="E175" t="s">
        <v>9</v>
      </c>
      <c r="F175">
        <v>415</v>
      </c>
      <c r="G175">
        <f>558-150</f>
        <v>408</v>
      </c>
      <c r="H175">
        <v>391.97297556929999</v>
      </c>
      <c r="I175">
        <v>392.80296773378802</v>
      </c>
      <c r="J175" s="6">
        <f>(H175-G175)/G175</f>
        <v>-3.9281922624264727E-2</v>
      </c>
      <c r="K175" s="3">
        <f>(I175-G175)/G175</f>
        <v>-3.7247628103460731E-2</v>
      </c>
      <c r="L175" s="6">
        <f>ABS(J175)</f>
        <v>3.9281922624264727E-2</v>
      </c>
      <c r="M175" s="3">
        <f>ABS(K175)</f>
        <v>3.7247628103460731E-2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</row>
    <row r="176" spans="1:34" x14ac:dyDescent="0.35">
      <c r="A176">
        <v>175</v>
      </c>
      <c r="B176">
        <v>22</v>
      </c>
      <c r="C176">
        <v>78</v>
      </c>
      <c r="D176">
        <v>170</v>
      </c>
      <c r="E176" t="s">
        <v>9</v>
      </c>
      <c r="F176">
        <v>381</v>
      </c>
      <c r="G176">
        <f>1182-847</f>
        <v>335</v>
      </c>
      <c r="H176">
        <v>377.51379008399903</v>
      </c>
      <c r="I176">
        <v>378.06429408613297</v>
      </c>
      <c r="J176" s="6">
        <f>(H176-G176)/G176</f>
        <v>0.12690683607163888</v>
      </c>
      <c r="K176" s="3">
        <f>(I176-G176)/G176</f>
        <v>0.12855013160039694</v>
      </c>
      <c r="L176" s="6">
        <f>ABS(J176)</f>
        <v>0.12690683607163888</v>
      </c>
      <c r="M176" s="3">
        <f>ABS(K176)</f>
        <v>0.12855013160039694</v>
      </c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</row>
    <row r="177" spans="1:34" x14ac:dyDescent="0.35">
      <c r="A177">
        <v>176</v>
      </c>
      <c r="B177">
        <v>22</v>
      </c>
      <c r="C177">
        <v>78</v>
      </c>
      <c r="D177">
        <v>170</v>
      </c>
      <c r="E177" t="s">
        <v>9</v>
      </c>
      <c r="F177">
        <v>398</v>
      </c>
      <c r="G177">
        <f>910-527</f>
        <v>383</v>
      </c>
      <c r="H177">
        <v>384.743382826649</v>
      </c>
      <c r="I177">
        <v>384.63779264278401</v>
      </c>
      <c r="J177" s="6">
        <f>(H177-G177)/G177</f>
        <v>4.5519133855065194E-3</v>
      </c>
      <c r="K177" s="3">
        <f>(I177-G177)/G177</f>
        <v>4.2762209994360485E-3</v>
      </c>
      <c r="L177" s="6">
        <f>ABS(J177)</f>
        <v>4.5519133855065194E-3</v>
      </c>
      <c r="M177" s="3">
        <f>ABS(K177)</f>
        <v>4.2762209994360485E-3</v>
      </c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</row>
    <row r="178" spans="1:34" x14ac:dyDescent="0.35">
      <c r="A178">
        <v>177</v>
      </c>
      <c r="B178">
        <v>22</v>
      </c>
      <c r="C178">
        <v>78</v>
      </c>
      <c r="D178">
        <v>170</v>
      </c>
      <c r="E178" t="s">
        <v>9</v>
      </c>
      <c r="F178">
        <v>366</v>
      </c>
      <c r="G178">
        <f>1239-871</f>
        <v>368</v>
      </c>
      <c r="H178">
        <v>371.13473766401302</v>
      </c>
      <c r="I178">
        <v>376.03151741168301</v>
      </c>
      <c r="J178" s="6">
        <f>(H178-G178)/G178</f>
        <v>8.5183088696005882E-3</v>
      </c>
      <c r="K178" s="3">
        <f>(I178-G178)/G178</f>
        <v>2.1824775575225577E-2</v>
      </c>
      <c r="L178" s="6">
        <f>ABS(J178)</f>
        <v>8.5183088696005882E-3</v>
      </c>
      <c r="M178" s="3">
        <f>ABS(K178)</f>
        <v>2.1824775575225577E-2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</row>
    <row r="179" spans="1:34" x14ac:dyDescent="0.35">
      <c r="A179">
        <v>178</v>
      </c>
      <c r="B179">
        <v>22</v>
      </c>
      <c r="C179">
        <v>78</v>
      </c>
      <c r="D179">
        <v>170</v>
      </c>
      <c r="E179" t="s">
        <v>9</v>
      </c>
      <c r="F179">
        <v>397</v>
      </c>
      <c r="G179">
        <f>1597-1233</f>
        <v>364</v>
      </c>
      <c r="H179">
        <v>384.31811266531702</v>
      </c>
      <c r="I179">
        <v>384.20704783886498</v>
      </c>
      <c r="J179" s="6">
        <f>(H179-G179)/G179</f>
        <v>5.5818990838783014E-2</v>
      </c>
      <c r="K179" s="3">
        <f>(I179-G179)/G179</f>
        <v>5.5513867689189506E-2</v>
      </c>
      <c r="L179" s="6">
        <f>ABS(J179)</f>
        <v>5.5818990838783014E-2</v>
      </c>
      <c r="M179" s="3">
        <f>ABS(K179)</f>
        <v>5.5513867689189506E-2</v>
      </c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</row>
    <row r="180" spans="1:34" x14ac:dyDescent="0.35">
      <c r="A180">
        <v>179</v>
      </c>
      <c r="B180">
        <v>22</v>
      </c>
      <c r="C180">
        <v>78</v>
      </c>
      <c r="D180">
        <v>170</v>
      </c>
      <c r="E180" t="s">
        <v>9</v>
      </c>
      <c r="F180">
        <v>383</v>
      </c>
      <c r="G180">
        <f>320-0</f>
        <v>320</v>
      </c>
      <c r="H180">
        <v>378.36433040666299</v>
      </c>
      <c r="I180">
        <v>378.77829963133303</v>
      </c>
      <c r="J180" s="6">
        <f>(H180-G180)/G180</f>
        <v>0.18238853252082182</v>
      </c>
      <c r="K180" s="3">
        <f>(I180-G180)/G180</f>
        <v>0.18368218634791572</v>
      </c>
      <c r="L180" s="6">
        <f>ABS(J180)</f>
        <v>0.18238853252082182</v>
      </c>
      <c r="M180" s="3">
        <f>ABS(K180)</f>
        <v>0.18368218634791572</v>
      </c>
      <c r="O180" s="20"/>
      <c r="P180" s="20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</row>
    <row r="181" spans="1:34" x14ac:dyDescent="0.35">
      <c r="A181">
        <v>180</v>
      </c>
      <c r="B181">
        <v>22</v>
      </c>
      <c r="C181">
        <v>78</v>
      </c>
      <c r="D181">
        <v>170</v>
      </c>
      <c r="E181" t="s">
        <v>9</v>
      </c>
      <c r="F181">
        <v>398</v>
      </c>
      <c r="G181">
        <f>384-0</f>
        <v>384</v>
      </c>
      <c r="H181">
        <v>384.743382826649</v>
      </c>
      <c r="I181">
        <v>384.63779264278401</v>
      </c>
      <c r="J181" s="6">
        <f>(H181-G181)/G181</f>
        <v>1.9358927777317625E-3</v>
      </c>
      <c r="K181" s="3">
        <f>(I181-G181)/G181</f>
        <v>1.6609183405833505E-3</v>
      </c>
      <c r="L181" s="6">
        <f>ABS(J181)</f>
        <v>1.9358927777317625E-3</v>
      </c>
      <c r="M181" s="3">
        <f>ABS(K181)</f>
        <v>1.6609183405833505E-3</v>
      </c>
      <c r="O181" s="20"/>
      <c r="P181" s="20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</row>
    <row r="182" spans="1:34" x14ac:dyDescent="0.35">
      <c r="A182">
        <v>181</v>
      </c>
      <c r="B182">
        <v>22</v>
      </c>
      <c r="C182">
        <v>78</v>
      </c>
      <c r="D182">
        <v>170</v>
      </c>
      <c r="E182" t="s">
        <v>9</v>
      </c>
      <c r="F182">
        <v>413</v>
      </c>
      <c r="G182">
        <f>1275-896</f>
        <v>379</v>
      </c>
      <c r="H182">
        <v>391.12243524663501</v>
      </c>
      <c r="I182">
        <v>391.473227306642</v>
      </c>
      <c r="J182" s="6">
        <f>(H182-G182)/G182</f>
        <v>3.1985317273443288E-2</v>
      </c>
      <c r="K182" s="3">
        <f>(I182-G182)/G182</f>
        <v>3.2910889991139849E-2</v>
      </c>
      <c r="L182" s="6">
        <f>ABS(J182)</f>
        <v>3.1985317273443288E-2</v>
      </c>
      <c r="M182" s="3">
        <f>ABS(K182)</f>
        <v>3.2910889991139849E-2</v>
      </c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</row>
    <row r="183" spans="1:34" x14ac:dyDescent="0.35">
      <c r="A183">
        <v>182</v>
      </c>
      <c r="B183">
        <v>22</v>
      </c>
      <c r="C183">
        <v>78</v>
      </c>
      <c r="D183">
        <v>170</v>
      </c>
      <c r="E183" t="s">
        <v>9</v>
      </c>
      <c r="F183">
        <v>396</v>
      </c>
      <c r="G183">
        <f>1401-1021</f>
        <v>380</v>
      </c>
      <c r="H183">
        <v>383.89284250398401</v>
      </c>
      <c r="I183">
        <v>383.77630303494601</v>
      </c>
      <c r="J183" s="6">
        <f>(H183-G183)/G183</f>
        <v>1.02443223789053E-2</v>
      </c>
      <c r="K183" s="3">
        <f>(I183-G183)/G183</f>
        <v>9.9376395656473968E-3</v>
      </c>
      <c r="L183" s="6">
        <f>ABS(J183)</f>
        <v>1.02443223789053E-2</v>
      </c>
      <c r="M183" s="3">
        <f>ABS(K183)</f>
        <v>9.9376395656473968E-3</v>
      </c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</row>
    <row r="184" spans="1:34" x14ac:dyDescent="0.35">
      <c r="A184">
        <v>183</v>
      </c>
      <c r="B184">
        <v>22</v>
      </c>
      <c r="C184">
        <v>78</v>
      </c>
      <c r="D184">
        <v>170</v>
      </c>
      <c r="E184" t="s">
        <v>9</v>
      </c>
      <c r="F184">
        <v>398</v>
      </c>
      <c r="G184">
        <f>1544-1188</f>
        <v>356</v>
      </c>
      <c r="H184">
        <v>384.743382826649</v>
      </c>
      <c r="I184">
        <v>384.63779264278401</v>
      </c>
      <c r="J184" s="6">
        <f>(H184-G184)/G184</f>
        <v>8.0739839400699426E-2</v>
      </c>
      <c r="K184" s="3">
        <f>(I184-G184)/G184</f>
        <v>8.0443237760629227E-2</v>
      </c>
      <c r="L184" s="6">
        <f>ABS(J184)</f>
        <v>8.0739839400699426E-2</v>
      </c>
      <c r="M184" s="3">
        <f>ABS(K184)</f>
        <v>8.0443237760629227E-2</v>
      </c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</row>
    <row r="185" spans="1:34" x14ac:dyDescent="0.35">
      <c r="A185">
        <v>184</v>
      </c>
      <c r="B185">
        <v>22</v>
      </c>
      <c r="C185">
        <v>78</v>
      </c>
      <c r="D185">
        <v>170</v>
      </c>
      <c r="E185" t="s">
        <v>9</v>
      </c>
      <c r="F185">
        <v>397</v>
      </c>
      <c r="G185">
        <f>1605-1228</f>
        <v>377</v>
      </c>
      <c r="H185">
        <v>384.31811266531702</v>
      </c>
      <c r="I185">
        <v>384.20704783886498</v>
      </c>
      <c r="J185" s="6">
        <f>(H185-G185)/G185</f>
        <v>1.9411439430549116E-2</v>
      </c>
      <c r="K185" s="3">
        <f>(I185-G185)/G185</f>
        <v>1.9116837768872626E-2</v>
      </c>
      <c r="L185" s="6">
        <f>ABS(J185)</f>
        <v>1.9411439430549116E-2</v>
      </c>
      <c r="M185" s="3">
        <f>ABS(K185)</f>
        <v>1.9116837768872626E-2</v>
      </c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</row>
    <row r="186" spans="1:34" x14ac:dyDescent="0.35">
      <c r="A186">
        <v>185</v>
      </c>
      <c r="B186">
        <v>22</v>
      </c>
      <c r="C186">
        <v>78</v>
      </c>
      <c r="D186">
        <v>170</v>
      </c>
      <c r="E186" t="s">
        <v>9</v>
      </c>
      <c r="F186">
        <v>413</v>
      </c>
      <c r="G186">
        <f>1010-610</f>
        <v>400</v>
      </c>
      <c r="H186">
        <v>391.12243524663501</v>
      </c>
      <c r="I186">
        <v>391.473227306642</v>
      </c>
      <c r="J186" s="6">
        <f>(H186-G186)/G186</f>
        <v>-2.2193911883412482E-2</v>
      </c>
      <c r="K186" s="3">
        <f>(I186-G186)/G186</f>
        <v>-2.1316931733394995E-2</v>
      </c>
      <c r="L186" s="6">
        <f>ABS(J186)</f>
        <v>2.2193911883412482E-2</v>
      </c>
      <c r="M186" s="3">
        <f>ABS(K186)</f>
        <v>2.1316931733394995E-2</v>
      </c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</row>
    <row r="187" spans="1:34" x14ac:dyDescent="0.35">
      <c r="A187">
        <v>186</v>
      </c>
      <c r="B187">
        <v>22</v>
      </c>
      <c r="C187">
        <v>78</v>
      </c>
      <c r="D187">
        <v>170</v>
      </c>
      <c r="E187" t="s">
        <v>9</v>
      </c>
      <c r="F187">
        <v>414</v>
      </c>
      <c r="G187">
        <f>441-25</f>
        <v>416</v>
      </c>
      <c r="H187">
        <v>391.54770540796699</v>
      </c>
      <c r="I187">
        <v>392.12173170842698</v>
      </c>
      <c r="J187" s="6">
        <f>(H187-G187)/G187</f>
        <v>-5.8779554307771667E-2</v>
      </c>
      <c r="K187" s="3">
        <f>(I187-G187)/G187</f>
        <v>-5.7399683393204379E-2</v>
      </c>
      <c r="L187" s="6">
        <f>ABS(J187)</f>
        <v>5.8779554307771667E-2</v>
      </c>
      <c r="M187" s="3">
        <f>ABS(K187)</f>
        <v>5.7399683393204379E-2</v>
      </c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</row>
    <row r="188" spans="1:34" x14ac:dyDescent="0.35">
      <c r="A188">
        <v>187</v>
      </c>
      <c r="B188">
        <v>22</v>
      </c>
      <c r="C188">
        <v>78</v>
      </c>
      <c r="D188">
        <v>170</v>
      </c>
      <c r="E188" t="s">
        <v>9</v>
      </c>
      <c r="F188">
        <v>398</v>
      </c>
      <c r="G188">
        <f>387-0</f>
        <v>387</v>
      </c>
      <c r="H188">
        <v>384.743382826649</v>
      </c>
      <c r="I188">
        <v>384.63779264278401</v>
      </c>
      <c r="J188" s="6">
        <f>(H188-G188)/G188</f>
        <v>-5.8310521275219719E-3</v>
      </c>
      <c r="K188" s="3">
        <f>(I188-G188)/G188</f>
        <v>-6.1038949798862879E-3</v>
      </c>
      <c r="L188" s="6">
        <f>ABS(J188)</f>
        <v>5.8310521275219719E-3</v>
      </c>
      <c r="M188" s="3">
        <f>ABS(K188)</f>
        <v>6.1038949798862879E-3</v>
      </c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</row>
    <row r="189" spans="1:34" x14ac:dyDescent="0.35">
      <c r="A189">
        <v>188</v>
      </c>
      <c r="B189">
        <v>22</v>
      </c>
      <c r="C189">
        <v>78</v>
      </c>
      <c r="D189">
        <v>170</v>
      </c>
      <c r="E189" t="s">
        <v>9</v>
      </c>
      <c r="F189">
        <v>380</v>
      </c>
      <c r="G189">
        <f>997-607</f>
        <v>390</v>
      </c>
      <c r="H189">
        <v>377.08851992266602</v>
      </c>
      <c r="I189">
        <v>377.70729131353198</v>
      </c>
      <c r="J189" s="6">
        <f>(H189-G189)/G189</f>
        <v>-3.3106359172651222E-2</v>
      </c>
      <c r="K189" s="3">
        <f>(I189-G189)/G189</f>
        <v>-3.1519765862738504E-2</v>
      </c>
      <c r="L189" s="6">
        <f>ABS(J189)</f>
        <v>3.3106359172651222E-2</v>
      </c>
      <c r="M189" s="3">
        <f>ABS(K189)</f>
        <v>3.1519765862738504E-2</v>
      </c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</row>
    <row r="190" spans="1:34" x14ac:dyDescent="0.35">
      <c r="A190">
        <v>189</v>
      </c>
      <c r="B190">
        <v>22</v>
      </c>
      <c r="C190">
        <v>78</v>
      </c>
      <c r="D190">
        <v>170</v>
      </c>
      <c r="E190" t="s">
        <v>9</v>
      </c>
      <c r="F190">
        <v>365</v>
      </c>
      <c r="G190">
        <f>367-20</f>
        <v>347</v>
      </c>
      <c r="H190">
        <v>370.70946750268001</v>
      </c>
      <c r="I190">
        <v>376.06711945650602</v>
      </c>
      <c r="J190" s="6">
        <f>(H190-G190)/G190</f>
        <v>6.8326995684956815E-2</v>
      </c>
      <c r="K190" s="3">
        <f>(I190-G190)/G190</f>
        <v>8.3766914860247899E-2</v>
      </c>
      <c r="L190" s="6">
        <f>ABS(J190)</f>
        <v>6.8326995684956815E-2</v>
      </c>
      <c r="M190" s="3">
        <f>ABS(K190)</f>
        <v>8.3766914860247899E-2</v>
      </c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</row>
    <row r="191" spans="1:34" x14ac:dyDescent="0.35">
      <c r="A191">
        <v>190</v>
      </c>
      <c r="B191">
        <v>22</v>
      </c>
      <c r="C191">
        <v>78</v>
      </c>
      <c r="D191">
        <v>170</v>
      </c>
      <c r="E191" t="s">
        <v>9</v>
      </c>
      <c r="F191">
        <v>397</v>
      </c>
      <c r="G191">
        <f>1050-684</f>
        <v>366</v>
      </c>
      <c r="H191">
        <v>384.31811266531702</v>
      </c>
      <c r="I191">
        <v>384.20704783886498</v>
      </c>
      <c r="J191" s="6">
        <f>(H191-G191)/G191</f>
        <v>5.0049488156603872E-2</v>
      </c>
      <c r="K191" s="3">
        <f>(I191-G191)/G191</f>
        <v>4.9746032346625627E-2</v>
      </c>
      <c r="L191" s="6">
        <f>ABS(J191)</f>
        <v>5.0049488156603872E-2</v>
      </c>
      <c r="M191" s="3">
        <f>ABS(K191)</f>
        <v>4.9746032346625627E-2</v>
      </c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</row>
    <row r="192" spans="1:34" x14ac:dyDescent="0.35">
      <c r="A192">
        <v>191</v>
      </c>
      <c r="B192">
        <v>22</v>
      </c>
      <c r="C192">
        <v>78</v>
      </c>
      <c r="D192">
        <v>170</v>
      </c>
      <c r="E192" t="s">
        <v>9</v>
      </c>
      <c r="F192">
        <v>409</v>
      </c>
      <c r="G192">
        <f>1275-864</f>
        <v>411</v>
      </c>
      <c r="H192">
        <v>389.42135460130498</v>
      </c>
      <c r="I192">
        <v>389.54636436011299</v>
      </c>
      <c r="J192" s="6">
        <f>(H192-G192)/G192</f>
        <v>-5.2502786858138729E-2</v>
      </c>
      <c r="K192" s="3">
        <f>(I192-G192)/G192</f>
        <v>-5.2198626861038953E-2</v>
      </c>
      <c r="L192" s="6">
        <f>ABS(J192)</f>
        <v>5.2502786858138729E-2</v>
      </c>
      <c r="M192" s="3">
        <f>ABS(K192)</f>
        <v>5.2198626861038953E-2</v>
      </c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</row>
    <row r="193" spans="1:34" x14ac:dyDescent="0.35">
      <c r="A193">
        <v>192</v>
      </c>
      <c r="B193">
        <v>22</v>
      </c>
      <c r="C193">
        <v>78</v>
      </c>
      <c r="D193">
        <v>170</v>
      </c>
      <c r="E193" t="s">
        <v>9</v>
      </c>
      <c r="F193">
        <v>398</v>
      </c>
      <c r="G193">
        <f>575-190</f>
        <v>385</v>
      </c>
      <c r="H193">
        <v>384.743382826649</v>
      </c>
      <c r="I193">
        <v>384.63779264278401</v>
      </c>
      <c r="J193" s="6">
        <f>(H193-G193)/G193</f>
        <v>-6.6653811260000836E-4</v>
      </c>
      <c r="K193" s="3">
        <f>(I193-G193)/G193</f>
        <v>-9.4079833043115169E-4</v>
      </c>
      <c r="L193" s="6">
        <f>ABS(J193)</f>
        <v>6.6653811260000836E-4</v>
      </c>
      <c r="M193" s="3">
        <f>ABS(K193)</f>
        <v>9.4079833043115169E-4</v>
      </c>
      <c r="O193" s="20"/>
      <c r="P193" s="20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</row>
    <row r="194" spans="1:34" x14ac:dyDescent="0.35">
      <c r="A194">
        <v>193</v>
      </c>
      <c r="B194">
        <v>22</v>
      </c>
      <c r="C194">
        <v>78</v>
      </c>
      <c r="D194">
        <v>170</v>
      </c>
      <c r="E194" t="s">
        <v>9</v>
      </c>
      <c r="F194">
        <v>405</v>
      </c>
      <c r="G194">
        <f>797-416</f>
        <v>381</v>
      </c>
      <c r="H194">
        <v>387.72027395597598</v>
      </c>
      <c r="I194">
        <v>387.65300627021998</v>
      </c>
      <c r="J194" s="6">
        <f>(H194-G194)/G194</f>
        <v>1.7638514320146938E-2</v>
      </c>
      <c r="K194" s="3">
        <f>(I194-G194)/G194</f>
        <v>1.7461958714488125E-2</v>
      </c>
      <c r="L194" s="6">
        <f>ABS(J194)</f>
        <v>1.7638514320146938E-2</v>
      </c>
      <c r="M194" s="3">
        <f>ABS(K194)</f>
        <v>1.7461958714488125E-2</v>
      </c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</row>
    <row r="195" spans="1:34" x14ac:dyDescent="0.35">
      <c r="A195">
        <v>194</v>
      </c>
      <c r="B195">
        <v>22</v>
      </c>
      <c r="C195">
        <v>78</v>
      </c>
      <c r="D195">
        <v>170</v>
      </c>
      <c r="E195" t="s">
        <v>9</v>
      </c>
      <c r="F195">
        <v>397</v>
      </c>
      <c r="G195">
        <f>962-567</f>
        <v>395</v>
      </c>
      <c r="H195">
        <v>384.31811266531702</v>
      </c>
      <c r="I195">
        <v>384.20704783886498</v>
      </c>
      <c r="J195" s="6">
        <f>(H195-G195)/G195</f>
        <v>-2.7042752746032871E-2</v>
      </c>
      <c r="K195" s="3">
        <f>(I195-G195)/G195</f>
        <v>-2.7323929521860808E-2</v>
      </c>
      <c r="L195" s="6">
        <f>ABS(J195)</f>
        <v>2.7042752746032871E-2</v>
      </c>
      <c r="M195" s="3">
        <f>ABS(K195)</f>
        <v>2.7323929521860808E-2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</row>
    <row r="196" spans="1:34" x14ac:dyDescent="0.35">
      <c r="A196">
        <v>195</v>
      </c>
      <c r="B196">
        <v>22</v>
      </c>
      <c r="C196">
        <v>78</v>
      </c>
      <c r="D196">
        <v>170</v>
      </c>
      <c r="E196" t="s">
        <v>9</v>
      </c>
      <c r="F196">
        <v>398</v>
      </c>
      <c r="G196">
        <f>1740-1389</f>
        <v>351</v>
      </c>
      <c r="H196">
        <v>384.743382826649</v>
      </c>
      <c r="I196">
        <v>384.63779264278401</v>
      </c>
      <c r="J196" s="6">
        <f>(H196-G196)/G196</f>
        <v>9.6134993808116798E-2</v>
      </c>
      <c r="K196" s="3">
        <f>(I196-G196)/G196</f>
        <v>9.5834167073458709E-2</v>
      </c>
      <c r="L196" s="6">
        <f>ABS(J196)</f>
        <v>9.6134993808116798E-2</v>
      </c>
      <c r="M196" s="3">
        <f>ABS(K196)</f>
        <v>9.5834167073458709E-2</v>
      </c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</row>
    <row r="197" spans="1:34" x14ac:dyDescent="0.35">
      <c r="A197">
        <v>196</v>
      </c>
      <c r="B197">
        <v>22</v>
      </c>
      <c r="C197">
        <v>78</v>
      </c>
      <c r="D197">
        <v>170</v>
      </c>
      <c r="E197" t="s">
        <v>9</v>
      </c>
      <c r="F197">
        <v>396</v>
      </c>
      <c r="G197">
        <f>386-0</f>
        <v>386</v>
      </c>
      <c r="H197">
        <v>383.89284250398401</v>
      </c>
      <c r="I197">
        <v>383.77630303494601</v>
      </c>
      <c r="J197" s="6">
        <f>(H197-G197)/G197</f>
        <v>-5.4589572435647321E-3</v>
      </c>
      <c r="K197" s="3">
        <f>(I197-G197)/G197</f>
        <v>-5.7608729664611119E-3</v>
      </c>
      <c r="L197" s="6">
        <f>ABS(J197)</f>
        <v>5.4589572435647321E-3</v>
      </c>
      <c r="M197" s="3">
        <f>ABS(K197)</f>
        <v>5.7608729664611119E-3</v>
      </c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</row>
    <row r="198" spans="1:34" x14ac:dyDescent="0.35">
      <c r="A198">
        <v>197</v>
      </c>
      <c r="B198">
        <v>22</v>
      </c>
      <c r="C198">
        <v>78</v>
      </c>
      <c r="D198">
        <v>170</v>
      </c>
      <c r="E198" t="s">
        <v>9</v>
      </c>
      <c r="F198">
        <v>397</v>
      </c>
      <c r="G198">
        <f>674-285</f>
        <v>389</v>
      </c>
      <c r="H198">
        <v>384.31811266531702</v>
      </c>
      <c r="I198">
        <v>384.20704783886498</v>
      </c>
      <c r="J198" s="6">
        <f>(H198-G198)/G198</f>
        <v>-1.203570008915934E-2</v>
      </c>
      <c r="K198" s="3">
        <f>(I198-G198)/G198</f>
        <v>-1.2321213781838097E-2</v>
      </c>
      <c r="L198" s="6">
        <f>ABS(J198)</f>
        <v>1.203570008915934E-2</v>
      </c>
      <c r="M198" s="3">
        <f>ABS(K198)</f>
        <v>1.2321213781838097E-2</v>
      </c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</row>
    <row r="199" spans="1:34" x14ac:dyDescent="0.35">
      <c r="A199">
        <v>198</v>
      </c>
      <c r="B199">
        <v>22</v>
      </c>
      <c r="C199">
        <v>78</v>
      </c>
      <c r="D199">
        <v>170</v>
      </c>
      <c r="E199" t="s">
        <v>9</v>
      </c>
      <c r="F199">
        <v>363</v>
      </c>
      <c r="G199">
        <f>947-558</f>
        <v>389</v>
      </c>
      <c r="H199">
        <v>369.858927180016</v>
      </c>
      <c r="I199">
        <v>376.27787549762701</v>
      </c>
      <c r="J199" s="6">
        <f>(H199-G199)/G199</f>
        <v>-4.9205842724894609E-2</v>
      </c>
      <c r="K199" s="3">
        <f>(I199-G199)/G199</f>
        <v>-3.2704690237462704E-2</v>
      </c>
      <c r="L199" s="6">
        <f>ABS(J199)</f>
        <v>4.9205842724894609E-2</v>
      </c>
      <c r="M199" s="3">
        <f>ABS(K199)</f>
        <v>3.2704690237462704E-2</v>
      </c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</row>
    <row r="200" spans="1:34" x14ac:dyDescent="0.35">
      <c r="A200">
        <v>199</v>
      </c>
      <c r="B200">
        <v>22</v>
      </c>
      <c r="C200">
        <v>78</v>
      </c>
      <c r="D200">
        <v>170</v>
      </c>
      <c r="E200" t="s">
        <v>9</v>
      </c>
      <c r="F200">
        <v>430</v>
      </c>
      <c r="G200">
        <f>842-449</f>
        <v>393</v>
      </c>
      <c r="H200">
        <v>398.352027989286</v>
      </c>
      <c r="I200">
        <v>403.02150811420802</v>
      </c>
      <c r="J200" s="6">
        <f>(H200-G200)/G200</f>
        <v>1.3618391830244275E-2</v>
      </c>
      <c r="K200" s="3">
        <f>(I200-G200)/G200</f>
        <v>2.550002064683974E-2</v>
      </c>
      <c r="L200" s="6">
        <f>ABS(J200)</f>
        <v>1.3618391830244275E-2</v>
      </c>
      <c r="M200" s="3">
        <f>ABS(K200)</f>
        <v>2.550002064683974E-2</v>
      </c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</row>
    <row r="201" spans="1:34" x14ac:dyDescent="0.35">
      <c r="A201">
        <v>200</v>
      </c>
      <c r="B201">
        <v>22</v>
      </c>
      <c r="C201">
        <v>78</v>
      </c>
      <c r="D201">
        <v>170</v>
      </c>
      <c r="E201" t="s">
        <v>9</v>
      </c>
      <c r="F201">
        <v>397</v>
      </c>
      <c r="G201">
        <f>1390-984</f>
        <v>406</v>
      </c>
      <c r="H201">
        <v>384.31811266531702</v>
      </c>
      <c r="I201">
        <v>384.20704783886498</v>
      </c>
      <c r="J201" s="6">
        <f>(H201-G201)/G201</f>
        <v>-5.3403663385918676E-2</v>
      </c>
      <c r="K201" s="3">
        <f>(I201-G201)/G201</f>
        <v>-5.3677222071761135E-2</v>
      </c>
      <c r="L201" s="6">
        <f>ABS(J201)</f>
        <v>5.3403663385918676E-2</v>
      </c>
      <c r="M201" s="3">
        <f>ABS(K201)</f>
        <v>5.3677222071761135E-2</v>
      </c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</row>
    <row r="202" spans="1:34" x14ac:dyDescent="0.35">
      <c r="A202">
        <v>201</v>
      </c>
      <c r="B202">
        <v>22</v>
      </c>
      <c r="C202">
        <v>78</v>
      </c>
      <c r="D202">
        <v>170</v>
      </c>
      <c r="E202" t="s">
        <v>9</v>
      </c>
      <c r="F202">
        <v>413</v>
      </c>
      <c r="G202">
        <f>767-397</f>
        <v>370</v>
      </c>
      <c r="H202">
        <v>391.12243524663501</v>
      </c>
      <c r="I202">
        <v>391.473227306642</v>
      </c>
      <c r="J202" s="6">
        <f>(H202-G202)/G202</f>
        <v>5.7087662828743259E-2</v>
      </c>
      <c r="K202" s="3">
        <f>(I202-G202)/G202</f>
        <v>5.8035749477410817E-2</v>
      </c>
      <c r="L202" s="6">
        <f>ABS(J202)</f>
        <v>5.7087662828743259E-2</v>
      </c>
      <c r="M202" s="3">
        <f>ABS(K202)</f>
        <v>5.8035749477410817E-2</v>
      </c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</row>
    <row r="203" spans="1:34" x14ac:dyDescent="0.35">
      <c r="A203">
        <v>202</v>
      </c>
      <c r="B203">
        <v>22</v>
      </c>
      <c r="C203">
        <v>78</v>
      </c>
      <c r="D203">
        <v>170</v>
      </c>
      <c r="E203" t="s">
        <v>9</v>
      </c>
      <c r="F203">
        <v>397</v>
      </c>
      <c r="G203">
        <f>868-493</f>
        <v>375</v>
      </c>
      <c r="H203">
        <v>384.31811266531702</v>
      </c>
      <c r="I203">
        <v>384.20704783886498</v>
      </c>
      <c r="J203" s="6">
        <f>(H203-G203)/G203</f>
        <v>2.4848300440845378E-2</v>
      </c>
      <c r="K203" s="3">
        <f>(I203-G203)/G203</f>
        <v>2.4552127570306614E-2</v>
      </c>
      <c r="L203" s="6">
        <f>ABS(J203)</f>
        <v>2.4848300440845378E-2</v>
      </c>
      <c r="M203" s="3">
        <f>ABS(K203)</f>
        <v>2.4552127570306614E-2</v>
      </c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</row>
    <row r="204" spans="1:34" x14ac:dyDescent="0.35">
      <c r="A204">
        <v>203</v>
      </c>
      <c r="B204">
        <v>22</v>
      </c>
      <c r="C204">
        <v>78</v>
      </c>
      <c r="D204">
        <v>170</v>
      </c>
      <c r="E204" t="s">
        <v>9</v>
      </c>
      <c r="F204">
        <v>381</v>
      </c>
      <c r="G204">
        <f>401-0</f>
        <v>401</v>
      </c>
      <c r="H204">
        <v>377.51379008399903</v>
      </c>
      <c r="I204">
        <v>378.06429408613297</v>
      </c>
      <c r="J204" s="6">
        <f>(H204-G204)/G204</f>
        <v>-5.8569102034915145E-2</v>
      </c>
      <c r="K204" s="3">
        <f>(I204-G204)/G204</f>
        <v>-5.7196274099419013E-2</v>
      </c>
      <c r="L204" s="6">
        <f>ABS(J204)</f>
        <v>5.8569102034915145E-2</v>
      </c>
      <c r="M204" s="3">
        <f>ABS(K204)</f>
        <v>5.7196274099419013E-2</v>
      </c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</row>
    <row r="205" spans="1:34" x14ac:dyDescent="0.35">
      <c r="A205">
        <v>204</v>
      </c>
      <c r="B205">
        <v>22</v>
      </c>
      <c r="C205">
        <v>78</v>
      </c>
      <c r="D205">
        <v>170</v>
      </c>
      <c r="E205" t="s">
        <v>9</v>
      </c>
      <c r="F205">
        <v>380</v>
      </c>
      <c r="G205">
        <f>1260-857</f>
        <v>403</v>
      </c>
      <c r="H205">
        <v>377.08851992266602</v>
      </c>
      <c r="I205">
        <v>377.70729131353198</v>
      </c>
      <c r="J205" s="6">
        <f>(H205-G205)/G205</f>
        <v>-6.4296476618694726E-2</v>
      </c>
      <c r="K205" s="3">
        <f>(I205-G205)/G205</f>
        <v>-6.2761063738134046E-2</v>
      </c>
      <c r="L205" s="6">
        <f>ABS(J205)</f>
        <v>6.4296476618694726E-2</v>
      </c>
      <c r="M205" s="3">
        <f>ABS(K205)</f>
        <v>6.2761063738134046E-2</v>
      </c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</row>
    <row r="206" spans="1:34" x14ac:dyDescent="0.35">
      <c r="A206">
        <v>205</v>
      </c>
      <c r="B206">
        <v>22</v>
      </c>
      <c r="C206">
        <v>78</v>
      </c>
      <c r="D206">
        <v>170</v>
      </c>
      <c r="E206" t="s">
        <v>9</v>
      </c>
      <c r="F206">
        <v>398</v>
      </c>
      <c r="G206">
        <f>910-519</f>
        <v>391</v>
      </c>
      <c r="H206">
        <v>384.743382826649</v>
      </c>
      <c r="I206">
        <v>384.63779264278401</v>
      </c>
      <c r="J206" s="6">
        <f>(H206-G206)/G206</f>
        <v>-1.6001578448468039E-2</v>
      </c>
      <c r="K206" s="3">
        <f>(I206-G206)/G206</f>
        <v>-1.6271630069606122E-2</v>
      </c>
      <c r="L206" s="6">
        <f>ABS(J206)</f>
        <v>1.6001578448468039E-2</v>
      </c>
      <c r="M206" s="3">
        <f>ABS(K206)</f>
        <v>1.6271630069606122E-2</v>
      </c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</row>
    <row r="207" spans="1:34" x14ac:dyDescent="0.35">
      <c r="A207">
        <v>206</v>
      </c>
      <c r="B207">
        <v>22</v>
      </c>
      <c r="C207">
        <v>78</v>
      </c>
      <c r="D207">
        <v>170</v>
      </c>
      <c r="E207" t="s">
        <v>9</v>
      </c>
      <c r="F207">
        <v>397</v>
      </c>
      <c r="G207">
        <f>933-535</f>
        <v>398</v>
      </c>
      <c r="H207">
        <v>384.31811266531702</v>
      </c>
      <c r="I207">
        <v>384.20704783886498</v>
      </c>
      <c r="J207" s="6">
        <f>(H207-G207)/G207</f>
        <v>-3.437660134342458E-2</v>
      </c>
      <c r="K207" s="3">
        <f>(I207-G207)/G207</f>
        <v>-3.4655658696319147E-2</v>
      </c>
      <c r="L207" s="6">
        <f>ABS(J207)</f>
        <v>3.437660134342458E-2</v>
      </c>
      <c r="M207" s="3">
        <f>ABS(K207)</f>
        <v>3.4655658696319147E-2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</row>
    <row r="208" spans="1:34" x14ac:dyDescent="0.35">
      <c r="A208">
        <v>207</v>
      </c>
      <c r="B208">
        <v>22</v>
      </c>
      <c r="C208">
        <v>78</v>
      </c>
      <c r="D208">
        <v>170</v>
      </c>
      <c r="E208" t="s">
        <v>9</v>
      </c>
      <c r="F208">
        <v>379</v>
      </c>
      <c r="G208">
        <f>324-0</f>
        <v>324</v>
      </c>
      <c r="H208">
        <v>376.66324976133399</v>
      </c>
      <c r="I208">
        <v>377.35028854093201</v>
      </c>
      <c r="J208" s="6">
        <f>(H208-G208)/G208</f>
        <v>0.16254089432510491</v>
      </c>
      <c r="K208" s="3">
        <f>(I208-G208)/G208</f>
        <v>0.16466138438559264</v>
      </c>
      <c r="L208" s="6">
        <f>ABS(J208)</f>
        <v>0.16254089432510491</v>
      </c>
      <c r="M208" s="3">
        <f>ABS(K208)</f>
        <v>0.16466138438559264</v>
      </c>
      <c r="O208" s="20"/>
      <c r="P208" s="20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</row>
    <row r="209" spans="1:34" x14ac:dyDescent="0.35">
      <c r="A209">
        <v>208</v>
      </c>
      <c r="B209">
        <v>22</v>
      </c>
      <c r="C209">
        <v>78</v>
      </c>
      <c r="D209">
        <v>170</v>
      </c>
      <c r="E209" t="s">
        <v>9</v>
      </c>
      <c r="F209">
        <v>380</v>
      </c>
      <c r="G209">
        <f>1304-934</f>
        <v>370</v>
      </c>
      <c r="H209">
        <v>377.08851992266602</v>
      </c>
      <c r="I209">
        <v>377.70729131353198</v>
      </c>
      <c r="J209" s="6">
        <f>(H209-G209)/G209</f>
        <v>1.9158161953151415E-2</v>
      </c>
      <c r="K209" s="3">
        <f>(I209-G209)/G209</f>
        <v>2.0830517063599951E-2</v>
      </c>
      <c r="L209" s="6">
        <f>ABS(J209)</f>
        <v>1.9158161953151415E-2</v>
      </c>
      <c r="M209" s="3">
        <f>ABS(K209)</f>
        <v>2.0830517063599951E-2</v>
      </c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</row>
    <row r="210" spans="1:34" x14ac:dyDescent="0.35">
      <c r="A210">
        <v>209</v>
      </c>
      <c r="B210">
        <v>22</v>
      </c>
      <c r="C210">
        <v>78</v>
      </c>
      <c r="D210">
        <v>170</v>
      </c>
      <c r="E210" t="s">
        <v>9</v>
      </c>
      <c r="F210">
        <v>413</v>
      </c>
      <c r="G210">
        <f>432-52</f>
        <v>380</v>
      </c>
      <c r="H210">
        <v>391.12243524663501</v>
      </c>
      <c r="I210">
        <v>391.473227306642</v>
      </c>
      <c r="J210" s="6">
        <f>(H210-G210)/G210</f>
        <v>2.9269566438513177E-2</v>
      </c>
      <c r="K210" s="3">
        <f>(I210-G210)/G210</f>
        <v>3.0192703438531584E-2</v>
      </c>
      <c r="L210" s="6">
        <f>ABS(J210)</f>
        <v>2.9269566438513177E-2</v>
      </c>
      <c r="M210" s="3">
        <f>ABS(K210)</f>
        <v>3.0192703438531584E-2</v>
      </c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</row>
    <row r="211" spans="1:34" x14ac:dyDescent="0.35">
      <c r="A211">
        <v>210</v>
      </c>
      <c r="B211">
        <v>22</v>
      </c>
      <c r="C211">
        <v>78</v>
      </c>
      <c r="D211">
        <v>170</v>
      </c>
      <c r="E211" t="s">
        <v>9</v>
      </c>
      <c r="F211">
        <v>429</v>
      </c>
      <c r="G211">
        <f>428-19</f>
        <v>409</v>
      </c>
      <c r="H211">
        <v>397.926757827953</v>
      </c>
      <c r="I211">
        <v>402.34027208884697</v>
      </c>
      <c r="J211" s="6">
        <f>(H211-G211)/G211</f>
        <v>-2.7073941740946218E-2</v>
      </c>
      <c r="K211" s="3">
        <f>(I211-G211)/G211</f>
        <v>-1.628295332800251E-2</v>
      </c>
      <c r="L211" s="6">
        <f>ABS(J211)</f>
        <v>2.7073941740946218E-2</v>
      </c>
      <c r="M211" s="3">
        <f>ABS(K211)</f>
        <v>1.628295332800251E-2</v>
      </c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</row>
    <row r="212" spans="1:34" x14ac:dyDescent="0.35">
      <c r="A212">
        <v>211</v>
      </c>
      <c r="B212">
        <v>22</v>
      </c>
      <c r="C212">
        <v>78</v>
      </c>
      <c r="D212">
        <v>170</v>
      </c>
      <c r="E212" t="s">
        <v>9</v>
      </c>
      <c r="F212">
        <v>378</v>
      </c>
      <c r="G212">
        <f>947-559</f>
        <v>388</v>
      </c>
      <c r="H212">
        <v>376.23797960000098</v>
      </c>
      <c r="I212">
        <v>377.00153686334397</v>
      </c>
      <c r="J212" s="6">
        <f>(H212-G212)/G212</f>
        <v>-3.0314485567007776E-2</v>
      </c>
      <c r="K212" s="3">
        <f>(I212-G212)/G212</f>
        <v>-2.8346554475917596E-2</v>
      </c>
      <c r="L212" s="6">
        <f>ABS(J212)</f>
        <v>3.0314485567007776E-2</v>
      </c>
      <c r="M212" s="3">
        <f>ABS(K212)</f>
        <v>2.8346554475917596E-2</v>
      </c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</row>
    <row r="213" spans="1:34" x14ac:dyDescent="0.35">
      <c r="A213">
        <v>212</v>
      </c>
      <c r="B213">
        <v>22</v>
      </c>
      <c r="C213">
        <v>78</v>
      </c>
      <c r="D213">
        <v>170</v>
      </c>
      <c r="E213" t="s">
        <v>9</v>
      </c>
      <c r="F213">
        <v>395</v>
      </c>
      <c r="G213">
        <f>754-367</f>
        <v>387</v>
      </c>
      <c r="H213">
        <v>383.46757234265198</v>
      </c>
      <c r="I213">
        <v>383.34555823102602</v>
      </c>
      <c r="J213" s="6">
        <f>(H213-G213)/G213</f>
        <v>-9.1277200448269345E-3</v>
      </c>
      <c r="K213" s="3">
        <f>(I213-G213)/G213</f>
        <v>-9.443001987012872E-3</v>
      </c>
      <c r="L213" s="6">
        <f>ABS(J213)</f>
        <v>9.1277200448269345E-3</v>
      </c>
      <c r="M213" s="3">
        <f>ABS(K213)</f>
        <v>9.443001987012872E-3</v>
      </c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</row>
    <row r="214" spans="1:34" x14ac:dyDescent="0.35">
      <c r="A214">
        <v>213</v>
      </c>
      <c r="B214">
        <v>22</v>
      </c>
      <c r="C214">
        <v>78</v>
      </c>
      <c r="D214">
        <v>170</v>
      </c>
      <c r="E214" t="s">
        <v>9</v>
      </c>
      <c r="F214">
        <v>397</v>
      </c>
      <c r="G214">
        <f>344-0</f>
        <v>344</v>
      </c>
      <c r="H214">
        <v>384.31811266531702</v>
      </c>
      <c r="I214">
        <v>384.20704783886498</v>
      </c>
      <c r="J214" s="6">
        <f>(H214-G214)/G214</f>
        <v>0.11720381588754947</v>
      </c>
      <c r="K214" s="3">
        <f>(I214-G214)/G214</f>
        <v>0.11688095301995634</v>
      </c>
      <c r="L214" s="6">
        <f>ABS(J214)</f>
        <v>0.11720381588754947</v>
      </c>
      <c r="M214" s="3">
        <f>ABS(K214)</f>
        <v>0.11688095301995634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</row>
    <row r="215" spans="1:34" x14ac:dyDescent="0.35">
      <c r="A215">
        <v>214</v>
      </c>
      <c r="B215">
        <v>22</v>
      </c>
      <c r="C215">
        <v>78</v>
      </c>
      <c r="D215">
        <v>170</v>
      </c>
      <c r="E215" t="s">
        <v>9</v>
      </c>
      <c r="F215">
        <v>414</v>
      </c>
      <c r="G215">
        <f>1054-656</f>
        <v>398</v>
      </c>
      <c r="H215">
        <v>391.54770540796699</v>
      </c>
      <c r="I215">
        <v>392.12173170842698</v>
      </c>
      <c r="J215" s="6">
        <f>(H215-G215)/G215</f>
        <v>-1.621179545736938E-2</v>
      </c>
      <c r="K215" s="3">
        <f>(I215-G215)/G215</f>
        <v>-1.4769518320535231E-2</v>
      </c>
      <c r="L215" s="6">
        <f>ABS(J215)</f>
        <v>1.621179545736938E-2</v>
      </c>
      <c r="M215" s="3">
        <f>ABS(K215)</f>
        <v>1.4769518320535231E-2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</row>
    <row r="216" spans="1:34" x14ac:dyDescent="0.35">
      <c r="A216">
        <v>215</v>
      </c>
      <c r="B216">
        <v>22</v>
      </c>
      <c r="C216">
        <v>78</v>
      </c>
      <c r="D216">
        <v>170</v>
      </c>
      <c r="E216" t="s">
        <v>9</v>
      </c>
      <c r="F216">
        <v>379</v>
      </c>
      <c r="G216">
        <f>498-105</f>
        <v>393</v>
      </c>
      <c r="H216">
        <v>376.66324976133399</v>
      </c>
      <c r="I216">
        <v>377.35028854093201</v>
      </c>
      <c r="J216" s="6">
        <f>(H216-G216)/G216</f>
        <v>-4.1569339029684516E-2</v>
      </c>
      <c r="K216" s="3">
        <f>(I216-G216)/G216</f>
        <v>-3.9821148750809131E-2</v>
      </c>
      <c r="L216" s="6">
        <f>ABS(J216)</f>
        <v>4.1569339029684516E-2</v>
      </c>
      <c r="M216" s="3">
        <f>ABS(K216)</f>
        <v>3.9821148750809131E-2</v>
      </c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</row>
    <row r="217" spans="1:34" x14ac:dyDescent="0.35">
      <c r="A217">
        <v>216</v>
      </c>
      <c r="B217">
        <v>22</v>
      </c>
      <c r="C217">
        <v>78</v>
      </c>
      <c r="D217">
        <v>170</v>
      </c>
      <c r="E217" t="s">
        <v>9</v>
      </c>
      <c r="F217">
        <v>344</v>
      </c>
      <c r="G217">
        <f>647-261</f>
        <v>386</v>
      </c>
      <c r="H217">
        <v>361.77879411470002</v>
      </c>
      <c r="I217">
        <v>383.01225412762602</v>
      </c>
      <c r="J217" s="6">
        <f>(H217-G217)/G217</f>
        <v>-6.2749238044818606E-2</v>
      </c>
      <c r="K217" s="3">
        <f>(I217-G217)/G217</f>
        <v>-7.7402742807616007E-3</v>
      </c>
      <c r="L217" s="6">
        <f>ABS(J217)</f>
        <v>6.2749238044818606E-2</v>
      </c>
      <c r="M217" s="3">
        <f>ABS(K217)</f>
        <v>7.7402742807616007E-3</v>
      </c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</row>
    <row r="218" spans="1:34" x14ac:dyDescent="0.35">
      <c r="A218">
        <v>217</v>
      </c>
      <c r="B218">
        <v>22</v>
      </c>
      <c r="C218">
        <v>78</v>
      </c>
      <c r="D218">
        <v>170</v>
      </c>
      <c r="E218" t="s">
        <v>9</v>
      </c>
      <c r="F218">
        <v>331</v>
      </c>
      <c r="G218">
        <f>825-477</f>
        <v>348</v>
      </c>
      <c r="H218">
        <v>356.25028201737899</v>
      </c>
      <c r="I218">
        <v>393.03347561749302</v>
      </c>
      <c r="J218" s="6">
        <f>(H218-G218)/G218</f>
        <v>2.370770694649136E-2</v>
      </c>
      <c r="K218" s="3">
        <f>(I218-G218)/G218</f>
        <v>0.12940653913072708</v>
      </c>
      <c r="L218" s="6">
        <f>ABS(J218)</f>
        <v>2.370770694649136E-2</v>
      </c>
      <c r="M218" s="3">
        <f>ABS(K218)</f>
        <v>0.12940653913072708</v>
      </c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</row>
    <row r="219" spans="1:34" x14ac:dyDescent="0.35">
      <c r="A219">
        <v>218</v>
      </c>
      <c r="B219">
        <v>22</v>
      </c>
      <c r="C219">
        <v>78</v>
      </c>
      <c r="D219">
        <v>170</v>
      </c>
      <c r="E219" t="s">
        <v>9</v>
      </c>
      <c r="F219">
        <v>405</v>
      </c>
      <c r="G219">
        <f>748-349</f>
        <v>399</v>
      </c>
      <c r="H219">
        <v>387.72027395597598</v>
      </c>
      <c r="I219">
        <v>387.65300627021998</v>
      </c>
      <c r="J219" s="6">
        <f>(H219-G219)/G219</f>
        <v>-2.8269990085273224E-2</v>
      </c>
      <c r="K219" s="3">
        <f>(I219-G219)/G219</f>
        <v>-2.843858077639104E-2</v>
      </c>
      <c r="L219" s="6">
        <f>ABS(J219)</f>
        <v>2.8269990085273224E-2</v>
      </c>
      <c r="M219" s="3">
        <f>ABS(K219)</f>
        <v>2.843858077639104E-2</v>
      </c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</row>
    <row r="220" spans="1:34" x14ac:dyDescent="0.35">
      <c r="A220">
        <v>219</v>
      </c>
      <c r="B220">
        <v>22</v>
      </c>
      <c r="C220">
        <v>78</v>
      </c>
      <c r="D220">
        <v>170</v>
      </c>
      <c r="E220" t="s">
        <v>9</v>
      </c>
      <c r="F220">
        <v>380</v>
      </c>
      <c r="G220">
        <f>1434-1068</f>
        <v>366</v>
      </c>
      <c r="H220">
        <v>377.08851992266602</v>
      </c>
      <c r="I220">
        <v>377.70729131353198</v>
      </c>
      <c r="J220" s="6">
        <f>(H220-G220)/G220</f>
        <v>3.0296502520945418E-2</v>
      </c>
      <c r="K220" s="3">
        <f>(I220-G220)/G220</f>
        <v>3.1987134736426184E-2</v>
      </c>
      <c r="L220" s="6">
        <f>ABS(J220)</f>
        <v>3.0296502520945418E-2</v>
      </c>
      <c r="M220" s="3">
        <f>ABS(K220)</f>
        <v>3.1987134736426184E-2</v>
      </c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</row>
    <row r="221" spans="1:34" x14ac:dyDescent="0.35">
      <c r="A221">
        <v>220</v>
      </c>
      <c r="B221">
        <v>22</v>
      </c>
      <c r="C221">
        <v>78</v>
      </c>
      <c r="D221">
        <v>170</v>
      </c>
      <c r="E221" t="s">
        <v>9</v>
      </c>
      <c r="F221">
        <v>396</v>
      </c>
      <c r="G221">
        <f>1501-1101</f>
        <v>400</v>
      </c>
      <c r="H221">
        <v>383.89284250398401</v>
      </c>
      <c r="I221">
        <v>383.77630303494601</v>
      </c>
      <c r="J221" s="6">
        <f>(H221-G221)/G221</f>
        <v>-4.0267893740039966E-2</v>
      </c>
      <c r="K221" s="3">
        <f>(I221-G221)/G221</f>
        <v>-4.055924241263497E-2</v>
      </c>
      <c r="L221" s="6">
        <f>ABS(J221)</f>
        <v>4.0267893740039966E-2</v>
      </c>
      <c r="M221" s="3">
        <f>ABS(K221)</f>
        <v>4.055924241263497E-2</v>
      </c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</row>
    <row r="222" spans="1:34" x14ac:dyDescent="0.35">
      <c r="A222">
        <v>221</v>
      </c>
      <c r="B222">
        <v>22</v>
      </c>
      <c r="C222">
        <v>78</v>
      </c>
      <c r="D222">
        <v>170</v>
      </c>
      <c r="E222" t="s">
        <v>9</v>
      </c>
      <c r="F222">
        <v>412</v>
      </c>
      <c r="G222">
        <f>761-363</f>
        <v>398</v>
      </c>
      <c r="H222">
        <v>390.69716508530303</v>
      </c>
      <c r="I222">
        <v>390.99151157000898</v>
      </c>
      <c r="J222" s="6">
        <f>(H222-G222)/G222</f>
        <v>-1.8348831443962245E-2</v>
      </c>
      <c r="K222" s="3">
        <f>(I222-G222)/G222</f>
        <v>-1.7609267412037735E-2</v>
      </c>
      <c r="L222" s="6">
        <f>ABS(J222)</f>
        <v>1.8348831443962245E-2</v>
      </c>
      <c r="M222" s="3">
        <f>ABS(K222)</f>
        <v>1.7609267412037735E-2</v>
      </c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</row>
    <row r="223" spans="1:34" x14ac:dyDescent="0.35">
      <c r="A223">
        <v>222</v>
      </c>
      <c r="B223">
        <v>22</v>
      </c>
      <c r="C223">
        <v>78</v>
      </c>
      <c r="D223">
        <v>170</v>
      </c>
      <c r="E223" t="s">
        <v>9</v>
      </c>
      <c r="F223">
        <v>412</v>
      </c>
      <c r="G223">
        <f>409-0</f>
        <v>409</v>
      </c>
      <c r="H223">
        <v>390.69716508530303</v>
      </c>
      <c r="I223">
        <v>390.99151157000898</v>
      </c>
      <c r="J223" s="6">
        <f>(H223-G223)/G223</f>
        <v>-4.4750207615396019E-2</v>
      </c>
      <c r="K223" s="3">
        <f>(I223-G223)/G223</f>
        <v>-4.4030534058657748E-2</v>
      </c>
      <c r="L223" s="6">
        <f>ABS(J223)</f>
        <v>4.4750207615396019E-2</v>
      </c>
      <c r="M223" s="3">
        <f>ABS(K223)</f>
        <v>4.4030534058657748E-2</v>
      </c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</row>
    <row r="224" spans="1:34" x14ac:dyDescent="0.35">
      <c r="A224">
        <v>223</v>
      </c>
      <c r="B224">
        <v>22</v>
      </c>
      <c r="C224">
        <v>78</v>
      </c>
      <c r="D224">
        <v>170</v>
      </c>
      <c r="E224" t="s">
        <v>9</v>
      </c>
      <c r="F224">
        <v>381</v>
      </c>
      <c r="G224">
        <f>1034-697</f>
        <v>337</v>
      </c>
      <c r="H224">
        <v>377.51379008399903</v>
      </c>
      <c r="I224">
        <v>378.06429408613297</v>
      </c>
      <c r="J224" s="6">
        <f>(H224-G224)/G224</f>
        <v>0.12021896167358762</v>
      </c>
      <c r="K224" s="3">
        <f>(I224-G224)/G224</f>
        <v>0.12185250470662604</v>
      </c>
      <c r="L224" s="6">
        <f>ABS(J224)</f>
        <v>0.12021896167358762</v>
      </c>
      <c r="M224" s="3">
        <f>ABS(K224)</f>
        <v>0.12185250470662604</v>
      </c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</row>
    <row r="225" spans="1:34" x14ac:dyDescent="0.35">
      <c r="A225">
        <v>224</v>
      </c>
      <c r="B225">
        <v>22</v>
      </c>
      <c r="C225">
        <v>78</v>
      </c>
      <c r="D225">
        <v>170</v>
      </c>
      <c r="E225" t="s">
        <v>9</v>
      </c>
      <c r="F225">
        <v>381</v>
      </c>
      <c r="G225">
        <f>349-0</f>
        <v>349</v>
      </c>
      <c r="H225">
        <v>377.51379008399903</v>
      </c>
      <c r="I225">
        <v>378.06429408613297</v>
      </c>
      <c r="J225" s="6">
        <f>(H225-G225)/G225</f>
        <v>8.1701404252146212E-2</v>
      </c>
      <c r="K225" s="3">
        <f>(I225-G225)/G225</f>
        <v>8.3278779616426865E-2</v>
      </c>
      <c r="L225" s="6">
        <f>ABS(J225)</f>
        <v>8.1701404252146212E-2</v>
      </c>
      <c r="M225" s="3">
        <f>ABS(K225)</f>
        <v>8.3278779616426865E-2</v>
      </c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</row>
    <row r="226" spans="1:34" x14ac:dyDescent="0.35">
      <c r="A226">
        <v>225</v>
      </c>
      <c r="B226">
        <v>22</v>
      </c>
      <c r="C226">
        <v>78</v>
      </c>
      <c r="D226">
        <v>170</v>
      </c>
      <c r="E226" t="s">
        <v>9</v>
      </c>
      <c r="F226">
        <v>396</v>
      </c>
      <c r="G226">
        <f>336-0</f>
        <v>336</v>
      </c>
      <c r="H226">
        <v>383.89284250398401</v>
      </c>
      <c r="I226">
        <v>383.77630303494601</v>
      </c>
      <c r="J226" s="6">
        <f>(H226-G226)/G226</f>
        <v>0.14253822173804767</v>
      </c>
      <c r="K226" s="3">
        <f>(I226-G226)/G226</f>
        <v>0.14219137808019647</v>
      </c>
      <c r="L226" s="6">
        <f>ABS(J226)</f>
        <v>0.14253822173804767</v>
      </c>
      <c r="M226" s="3">
        <f>ABS(K226)</f>
        <v>0.14219137808019647</v>
      </c>
      <c r="O226" s="20"/>
      <c r="P226" s="20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</row>
    <row r="227" spans="1:34" x14ac:dyDescent="0.35">
      <c r="A227">
        <v>226</v>
      </c>
      <c r="B227">
        <v>22</v>
      </c>
      <c r="C227">
        <v>78</v>
      </c>
      <c r="D227">
        <v>170</v>
      </c>
      <c r="E227" t="s">
        <v>9</v>
      </c>
      <c r="F227">
        <v>397</v>
      </c>
      <c r="G227">
        <f>555-159</f>
        <v>396</v>
      </c>
      <c r="H227">
        <v>384.31811266531702</v>
      </c>
      <c r="I227">
        <v>384.20704783886498</v>
      </c>
      <c r="J227" s="6">
        <f>(H227-G227)/G227</f>
        <v>-2.9499715491623696E-2</v>
      </c>
      <c r="K227" s="3">
        <f>(I227-G227)/G227</f>
        <v>-2.9780182225088433E-2</v>
      </c>
      <c r="L227" s="6">
        <f>ABS(J227)</f>
        <v>2.9499715491623696E-2</v>
      </c>
      <c r="M227" s="3">
        <f>ABS(K227)</f>
        <v>2.9780182225088433E-2</v>
      </c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</row>
    <row r="228" spans="1:34" x14ac:dyDescent="0.35">
      <c r="A228">
        <v>227</v>
      </c>
      <c r="B228">
        <v>22</v>
      </c>
      <c r="C228">
        <v>78</v>
      </c>
      <c r="D228">
        <v>170</v>
      </c>
      <c r="E228" t="s">
        <v>9</v>
      </c>
      <c r="F228">
        <v>378</v>
      </c>
      <c r="G228">
        <f>945-569</f>
        <v>376</v>
      </c>
      <c r="H228">
        <v>376.23797960000098</v>
      </c>
      <c r="I228">
        <v>377.00153686334397</v>
      </c>
      <c r="J228" s="6">
        <f>(H228-G228)/G228</f>
        <v>6.3292446808772146E-4</v>
      </c>
      <c r="K228" s="3">
        <f>(I228-G228)/G228</f>
        <v>2.6636618705956705E-3</v>
      </c>
      <c r="L228" s="6">
        <f>ABS(J228)</f>
        <v>6.3292446808772146E-4</v>
      </c>
      <c r="M228" s="3">
        <f>ABS(K228)</f>
        <v>2.6636618705956705E-3</v>
      </c>
      <c r="O228" s="20"/>
      <c r="P228" s="20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</row>
    <row r="229" spans="1:34" s="15" customFormat="1" x14ac:dyDescent="0.35">
      <c r="A229" s="15">
        <v>228</v>
      </c>
      <c r="B229" s="15">
        <v>22</v>
      </c>
      <c r="C229" s="15">
        <v>78</v>
      </c>
      <c r="D229" s="15">
        <v>170</v>
      </c>
      <c r="E229" s="15" t="s">
        <v>9</v>
      </c>
      <c r="F229" s="15">
        <v>758</v>
      </c>
      <c r="G229" s="15">
        <f>366-0</f>
        <v>366</v>
      </c>
      <c r="H229" s="15">
        <v>537.84064090630898</v>
      </c>
      <c r="I229" s="15">
        <v>1215.0750383341899</v>
      </c>
      <c r="N229" s="15" t="s">
        <v>23</v>
      </c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</row>
    <row r="230" spans="1:34" x14ac:dyDescent="0.35">
      <c r="A230">
        <v>229</v>
      </c>
      <c r="B230">
        <v>22</v>
      </c>
      <c r="C230">
        <v>78</v>
      </c>
      <c r="D230">
        <v>170</v>
      </c>
      <c r="E230" t="s">
        <v>9</v>
      </c>
      <c r="F230">
        <v>413</v>
      </c>
      <c r="G230">
        <f>896-544</f>
        <v>352</v>
      </c>
      <c r="H230">
        <v>391.12243524663501</v>
      </c>
      <c r="I230">
        <v>391.473227306642</v>
      </c>
      <c r="J230" s="6">
        <f>(H230-G230)/G230</f>
        <v>0.11114328195066764</v>
      </c>
      <c r="K230" s="3">
        <f>(I230-G230)/G230</f>
        <v>0.11213985030296024</v>
      </c>
      <c r="L230" s="6">
        <f>ABS(J230)</f>
        <v>0.11114328195066764</v>
      </c>
      <c r="M230" s="3">
        <f>ABS(K230)</f>
        <v>0.11213985030296024</v>
      </c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</row>
    <row r="231" spans="1:34" x14ac:dyDescent="0.35">
      <c r="A231">
        <v>230</v>
      </c>
      <c r="B231">
        <v>22</v>
      </c>
      <c r="C231">
        <v>78</v>
      </c>
      <c r="D231">
        <v>170</v>
      </c>
      <c r="E231" t="s">
        <v>9</v>
      </c>
      <c r="F231">
        <v>428</v>
      </c>
      <c r="G231">
        <f>662-273</f>
        <v>389</v>
      </c>
      <c r="H231">
        <v>397.50148766662102</v>
      </c>
      <c r="I231">
        <v>401.65903606348502</v>
      </c>
      <c r="J231" s="6">
        <f>(H231-G231)/G231</f>
        <v>2.1854724078717268E-2</v>
      </c>
      <c r="K231" s="3">
        <f>(I231-G231)/G231</f>
        <v>3.2542509160629868E-2</v>
      </c>
      <c r="L231" s="6">
        <f>ABS(J231)</f>
        <v>2.1854724078717268E-2</v>
      </c>
      <c r="M231" s="3">
        <f>ABS(K231)</f>
        <v>3.2542509160629868E-2</v>
      </c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</row>
    <row r="232" spans="1:34" x14ac:dyDescent="0.35">
      <c r="A232">
        <v>231</v>
      </c>
      <c r="B232">
        <v>22</v>
      </c>
      <c r="C232">
        <v>78</v>
      </c>
      <c r="D232">
        <v>170</v>
      </c>
      <c r="E232" t="s">
        <v>9</v>
      </c>
      <c r="F232">
        <v>381</v>
      </c>
      <c r="G232">
        <f>1038-653</f>
        <v>385</v>
      </c>
      <c r="H232">
        <v>377.51379008399903</v>
      </c>
      <c r="I232">
        <v>378.06429408613297</v>
      </c>
      <c r="J232" s="6">
        <f>(H232-G232)/G232</f>
        <v>-1.9444701080522007E-2</v>
      </c>
      <c r="K232" s="3">
        <f>(I232-G232)/G232</f>
        <v>-1.8014820555498766E-2</v>
      </c>
      <c r="L232" s="6">
        <f>ABS(J232)</f>
        <v>1.9444701080522007E-2</v>
      </c>
      <c r="M232" s="3">
        <f>ABS(K232)</f>
        <v>1.8014820555498766E-2</v>
      </c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</row>
    <row r="233" spans="1:34" x14ac:dyDescent="0.35">
      <c r="A233">
        <v>232</v>
      </c>
      <c r="B233">
        <v>22</v>
      </c>
      <c r="C233">
        <v>78</v>
      </c>
      <c r="D233">
        <v>170</v>
      </c>
      <c r="E233" t="s">
        <v>9</v>
      </c>
      <c r="F233">
        <v>411</v>
      </c>
      <c r="G233">
        <f>1166-765</f>
        <v>401</v>
      </c>
      <c r="H233">
        <v>390.27189492397002</v>
      </c>
      <c r="I233">
        <v>390.50979583337698</v>
      </c>
      <c r="J233" s="6">
        <f>(H233-G233)/G233</f>
        <v>-2.6753379241970014E-2</v>
      </c>
      <c r="K233" s="3">
        <f>(I233-G233)/G233</f>
        <v>-2.6160110141204528E-2</v>
      </c>
      <c r="L233" s="6">
        <f>ABS(J233)</f>
        <v>2.6753379241970014E-2</v>
      </c>
      <c r="M233" s="3">
        <f>ABS(K233)</f>
        <v>2.6160110141204528E-2</v>
      </c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</row>
    <row r="234" spans="1:34" x14ac:dyDescent="0.35">
      <c r="A234">
        <v>233</v>
      </c>
      <c r="B234">
        <v>22</v>
      </c>
      <c r="C234">
        <v>78</v>
      </c>
      <c r="D234">
        <v>170</v>
      </c>
      <c r="E234" t="s">
        <v>9</v>
      </c>
      <c r="F234">
        <v>380</v>
      </c>
      <c r="G234">
        <f>972-567</f>
        <v>405</v>
      </c>
      <c r="H234">
        <v>377.08851992266602</v>
      </c>
      <c r="I234">
        <v>377.70729131353198</v>
      </c>
      <c r="J234" s="6">
        <f>(H234-G234)/G234</f>
        <v>-6.8917234758849324E-2</v>
      </c>
      <c r="K234" s="3">
        <f>(I234-G234)/G234</f>
        <v>-6.7389404164118566E-2</v>
      </c>
      <c r="L234" s="6">
        <f>ABS(J234)</f>
        <v>6.8917234758849324E-2</v>
      </c>
      <c r="M234" s="3">
        <f>ABS(K234)</f>
        <v>6.7389404164118566E-2</v>
      </c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</row>
    <row r="235" spans="1:34" x14ac:dyDescent="0.35">
      <c r="A235">
        <v>234</v>
      </c>
      <c r="B235">
        <v>22</v>
      </c>
      <c r="C235">
        <v>78</v>
      </c>
      <c r="D235">
        <v>170</v>
      </c>
      <c r="E235" t="s">
        <v>9</v>
      </c>
      <c r="F235">
        <v>395</v>
      </c>
      <c r="G235">
        <f>354-0</f>
        <v>354</v>
      </c>
      <c r="H235">
        <v>383.46757234265198</v>
      </c>
      <c r="I235">
        <v>383.34555823102602</v>
      </c>
      <c r="J235" s="6">
        <f>(H235-G235)/G235</f>
        <v>8.3241729781502766E-2</v>
      </c>
      <c r="K235" s="3">
        <f>(I235-G235)/G235</f>
        <v>8.2897057149791009E-2</v>
      </c>
      <c r="L235" s="6">
        <f>ABS(J235)</f>
        <v>8.3241729781502766E-2</v>
      </c>
      <c r="M235" s="3">
        <f>ABS(K235)</f>
        <v>8.2897057149791009E-2</v>
      </c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</row>
    <row r="236" spans="1:34" x14ac:dyDescent="0.35">
      <c r="A236">
        <v>235</v>
      </c>
      <c r="B236">
        <v>22</v>
      </c>
      <c r="C236">
        <v>78</v>
      </c>
      <c r="D236">
        <v>170</v>
      </c>
      <c r="E236" t="s">
        <v>9</v>
      </c>
      <c r="F236">
        <v>396</v>
      </c>
      <c r="G236">
        <f>1046-639</f>
        <v>407</v>
      </c>
      <c r="H236">
        <v>383.89284250398401</v>
      </c>
      <c r="I236">
        <v>383.77630303494601</v>
      </c>
      <c r="J236" s="6">
        <f>(H236-G236)/G236</f>
        <v>-5.6774342742054021E-2</v>
      </c>
      <c r="K236" s="3">
        <f>(I236-G236)/G236</f>
        <v>-5.7060680503818156E-2</v>
      </c>
      <c r="L236" s="6">
        <f>ABS(J236)</f>
        <v>5.6774342742054021E-2</v>
      </c>
      <c r="M236" s="3">
        <f>ABS(K236)</f>
        <v>5.7060680503818156E-2</v>
      </c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</row>
    <row r="237" spans="1:34" x14ac:dyDescent="0.35">
      <c r="A237">
        <v>236</v>
      </c>
      <c r="B237">
        <v>22</v>
      </c>
      <c r="C237">
        <v>78</v>
      </c>
      <c r="D237">
        <v>170</v>
      </c>
      <c r="E237" t="s">
        <v>9</v>
      </c>
      <c r="F237">
        <v>396</v>
      </c>
      <c r="G237">
        <f>567-188</f>
        <v>379</v>
      </c>
      <c r="H237">
        <v>383.89284250398401</v>
      </c>
      <c r="I237">
        <v>383.77630303494601</v>
      </c>
      <c r="J237" s="6">
        <f>(H237-G237)/G237</f>
        <v>1.2909874680696605E-2</v>
      </c>
      <c r="K237" s="3">
        <f>(I237-G237)/G237</f>
        <v>1.2602382677957812E-2</v>
      </c>
      <c r="L237" s="6">
        <f>ABS(J237)</f>
        <v>1.2909874680696605E-2</v>
      </c>
      <c r="M237" s="3">
        <f>ABS(K237)</f>
        <v>1.2602382677957812E-2</v>
      </c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</row>
    <row r="238" spans="1:34" x14ac:dyDescent="0.35">
      <c r="A238">
        <v>237</v>
      </c>
      <c r="B238">
        <v>22</v>
      </c>
      <c r="C238">
        <v>78</v>
      </c>
      <c r="D238">
        <v>170</v>
      </c>
      <c r="E238" t="s">
        <v>9</v>
      </c>
      <c r="F238">
        <v>379</v>
      </c>
      <c r="G238">
        <f>1218-842</f>
        <v>376</v>
      </c>
      <c r="H238">
        <v>376.66324976133399</v>
      </c>
      <c r="I238">
        <v>377.35028854093201</v>
      </c>
      <c r="J238" s="6">
        <f>(H238-G238)/G238</f>
        <v>1.7639621312074108E-3</v>
      </c>
      <c r="K238" s="3">
        <f>(I238-G238)/G238</f>
        <v>3.5911929280106726E-3</v>
      </c>
      <c r="L238" s="6">
        <f>ABS(J238)</f>
        <v>1.7639621312074108E-3</v>
      </c>
      <c r="M238" s="3">
        <f>ABS(K238)</f>
        <v>3.5911929280106726E-3</v>
      </c>
      <c r="O238" s="20"/>
      <c r="P238" s="20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</row>
    <row r="239" spans="1:34" x14ac:dyDescent="0.35">
      <c r="A239">
        <v>238</v>
      </c>
      <c r="B239">
        <v>22</v>
      </c>
      <c r="C239">
        <v>78</v>
      </c>
      <c r="D239">
        <v>170</v>
      </c>
      <c r="E239" t="s">
        <v>9</v>
      </c>
      <c r="F239">
        <v>412</v>
      </c>
      <c r="G239">
        <f>412-28</f>
        <v>384</v>
      </c>
      <c r="H239">
        <v>390.69716508530303</v>
      </c>
      <c r="I239">
        <v>390.99151157000898</v>
      </c>
      <c r="J239" s="6">
        <f>(H239-G239)/G239</f>
        <v>1.7440534076309966E-2</v>
      </c>
      <c r="K239" s="3">
        <f>(I239-G239)/G239</f>
        <v>1.8207061380231721E-2</v>
      </c>
      <c r="L239" s="6">
        <f>ABS(J239)</f>
        <v>1.7440534076309966E-2</v>
      </c>
      <c r="M239" s="3">
        <f>ABS(K239)</f>
        <v>1.8207061380231721E-2</v>
      </c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</row>
    <row r="240" spans="1:34" x14ac:dyDescent="0.35">
      <c r="A240">
        <v>239</v>
      </c>
      <c r="B240">
        <v>22</v>
      </c>
      <c r="C240">
        <v>78</v>
      </c>
      <c r="D240">
        <v>170</v>
      </c>
      <c r="E240" t="s">
        <v>9</v>
      </c>
      <c r="F240">
        <v>429</v>
      </c>
      <c r="G240">
        <f>397-0</f>
        <v>397</v>
      </c>
      <c r="H240">
        <v>397.926757827953</v>
      </c>
      <c r="I240">
        <v>402.34027208884697</v>
      </c>
      <c r="J240" s="6">
        <f>(H240-G240)/G240</f>
        <v>2.3344025893022595E-3</v>
      </c>
      <c r="K240" s="3">
        <f>(I240-G240)/G240</f>
        <v>1.3451566974425625E-2</v>
      </c>
      <c r="L240" s="6">
        <f>ABS(J240)</f>
        <v>2.3344025893022595E-3</v>
      </c>
      <c r="M240" s="3">
        <f>ABS(K240)</f>
        <v>1.3451566974425625E-2</v>
      </c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</row>
    <row r="241" spans="1:34" x14ac:dyDescent="0.35">
      <c r="A241">
        <v>240</v>
      </c>
      <c r="B241">
        <v>22</v>
      </c>
      <c r="C241">
        <v>78</v>
      </c>
      <c r="D241">
        <v>170</v>
      </c>
      <c r="E241" t="s">
        <v>9</v>
      </c>
      <c r="F241">
        <v>346</v>
      </c>
      <c r="G241">
        <f>532-137</f>
        <v>395</v>
      </c>
      <c r="H241">
        <v>362.629334437365</v>
      </c>
      <c r="I241">
        <v>381.85695871825999</v>
      </c>
      <c r="J241" s="6">
        <f>(H241-G241)/G241</f>
        <v>-8.1951052057303783E-2</v>
      </c>
      <c r="K241" s="3">
        <f>(I241-G241)/G241</f>
        <v>-3.3273522232253196E-2</v>
      </c>
      <c r="L241" s="6">
        <f>ABS(J241)</f>
        <v>8.1951052057303783E-2</v>
      </c>
      <c r="M241" s="3">
        <f>ABS(K241)</f>
        <v>3.3273522232253196E-2</v>
      </c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</row>
    <row r="242" spans="1:34" x14ac:dyDescent="0.35">
      <c r="A242">
        <v>241</v>
      </c>
      <c r="B242">
        <v>22</v>
      </c>
      <c r="C242">
        <v>78</v>
      </c>
      <c r="D242">
        <v>170</v>
      </c>
      <c r="E242" t="s">
        <v>9</v>
      </c>
      <c r="F242">
        <v>412</v>
      </c>
      <c r="G242">
        <f>599-224</f>
        <v>375</v>
      </c>
      <c r="H242">
        <v>390.69716508530303</v>
      </c>
      <c r="I242">
        <v>390.99151157000898</v>
      </c>
      <c r="J242" s="6">
        <f>(H242-G242)/G242</f>
        <v>4.1859106894141407E-2</v>
      </c>
      <c r="K242" s="3">
        <f>(I242-G242)/G242</f>
        <v>4.2644030853357287E-2</v>
      </c>
      <c r="L242" s="6">
        <f>ABS(J242)</f>
        <v>4.1859106894141407E-2</v>
      </c>
      <c r="M242" s="3">
        <f>ABS(K242)</f>
        <v>4.2644030853357287E-2</v>
      </c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</row>
    <row r="243" spans="1:34" x14ac:dyDescent="0.35">
      <c r="A243">
        <v>242</v>
      </c>
      <c r="B243">
        <v>22</v>
      </c>
      <c r="C243">
        <v>78</v>
      </c>
      <c r="D243">
        <v>170</v>
      </c>
      <c r="E243" t="s">
        <v>9</v>
      </c>
      <c r="F243">
        <v>413</v>
      </c>
      <c r="G243">
        <f>451-64</f>
        <v>387</v>
      </c>
      <c r="H243">
        <v>391.12243524663501</v>
      </c>
      <c r="I243">
        <v>391.473227306642</v>
      </c>
      <c r="J243" s="6">
        <f>(H243-G243)/G243</f>
        <v>1.0652287459005186E-2</v>
      </c>
      <c r="K243" s="3">
        <f>(I243-G243)/G243</f>
        <v>1.1558726890547809E-2</v>
      </c>
      <c r="L243" s="6">
        <f>ABS(J243)</f>
        <v>1.0652287459005186E-2</v>
      </c>
      <c r="M243" s="3">
        <f>ABS(K243)</f>
        <v>1.1558726890547809E-2</v>
      </c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</row>
    <row r="244" spans="1:34" x14ac:dyDescent="0.35">
      <c r="A244">
        <v>243</v>
      </c>
      <c r="B244">
        <v>22</v>
      </c>
      <c r="C244">
        <v>78</v>
      </c>
      <c r="D244">
        <v>170</v>
      </c>
      <c r="E244" t="s">
        <v>9</v>
      </c>
      <c r="F244">
        <v>396</v>
      </c>
      <c r="G244">
        <f>709-345</f>
        <v>364</v>
      </c>
      <c r="H244">
        <v>383.89284250398401</v>
      </c>
      <c r="I244">
        <v>383.77630303494601</v>
      </c>
      <c r="J244" s="6">
        <f>(H244-G244)/G244</f>
        <v>5.4650666219736299E-2</v>
      </c>
      <c r="K244" s="3">
        <f>(I244-G244)/G244</f>
        <v>5.4330502843258272E-2</v>
      </c>
      <c r="L244" s="6">
        <f>ABS(J244)</f>
        <v>5.4650666219736299E-2</v>
      </c>
      <c r="M244" s="3">
        <f>ABS(K244)</f>
        <v>5.4330502843258272E-2</v>
      </c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</row>
    <row r="245" spans="1:34" x14ac:dyDescent="0.35">
      <c r="A245">
        <v>244</v>
      </c>
      <c r="B245">
        <v>22</v>
      </c>
      <c r="C245">
        <v>78</v>
      </c>
      <c r="D245">
        <v>170</v>
      </c>
      <c r="E245" t="s">
        <v>9</v>
      </c>
      <c r="F245">
        <v>411</v>
      </c>
      <c r="G245">
        <f>385-0</f>
        <v>385</v>
      </c>
      <c r="H245">
        <v>390.27189492397002</v>
      </c>
      <c r="I245">
        <v>390.50979583337698</v>
      </c>
      <c r="J245" s="6">
        <f>(H245-G245)/G245</f>
        <v>1.3693233568753307E-2</v>
      </c>
      <c r="K245" s="3">
        <f>(I245-G245)/G245</f>
        <v>1.4311158008771387E-2</v>
      </c>
      <c r="L245" s="6">
        <f>ABS(J245)</f>
        <v>1.3693233568753307E-2</v>
      </c>
      <c r="M245" s="3">
        <f>ABS(K245)</f>
        <v>1.4311158008771387E-2</v>
      </c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</row>
    <row r="246" spans="1:34" x14ac:dyDescent="0.35">
      <c r="A246">
        <v>245</v>
      </c>
      <c r="B246">
        <v>22</v>
      </c>
      <c r="C246">
        <v>78</v>
      </c>
      <c r="D246">
        <v>170</v>
      </c>
      <c r="E246" t="s">
        <v>9</v>
      </c>
      <c r="F246">
        <v>348</v>
      </c>
      <c r="G246">
        <f>853-507</f>
        <v>346</v>
      </c>
      <c r="H246">
        <v>363.47987476002999</v>
      </c>
      <c r="I246">
        <v>380.82727452775299</v>
      </c>
      <c r="J246" s="6">
        <f>(H246-G246)/G246</f>
        <v>5.0519869248641582E-2</v>
      </c>
      <c r="K246" s="3">
        <f>(I246-G246)/G246</f>
        <v>0.10065686279697396</v>
      </c>
      <c r="L246" s="6">
        <f>ABS(J246)</f>
        <v>5.0519869248641582E-2</v>
      </c>
      <c r="M246" s="3">
        <f>ABS(K246)</f>
        <v>0.10065686279697396</v>
      </c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</row>
    <row r="247" spans="1:34" x14ac:dyDescent="0.35">
      <c r="A247">
        <v>246</v>
      </c>
      <c r="B247">
        <v>22</v>
      </c>
      <c r="C247">
        <v>78</v>
      </c>
      <c r="D247">
        <v>170</v>
      </c>
      <c r="E247" t="s">
        <v>9</v>
      </c>
      <c r="F247">
        <v>364</v>
      </c>
      <c r="G247">
        <f>807-433</f>
        <v>374</v>
      </c>
      <c r="H247">
        <v>370.28419734134798</v>
      </c>
      <c r="I247">
        <v>376.148061967221</v>
      </c>
      <c r="J247" s="6">
        <f>(H247-G247)/G247</f>
        <v>-9.93530122634231E-3</v>
      </c>
      <c r="K247" s="3">
        <f>(I247-G247)/G247</f>
        <v>5.7434811957780664E-3</v>
      </c>
      <c r="L247" s="6">
        <f>ABS(J247)</f>
        <v>9.93530122634231E-3</v>
      </c>
      <c r="M247" s="3">
        <f>ABS(K247)</f>
        <v>5.7434811957780664E-3</v>
      </c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</row>
    <row r="248" spans="1:34" x14ac:dyDescent="0.35">
      <c r="A248">
        <v>247</v>
      </c>
      <c r="B248">
        <v>22</v>
      </c>
      <c r="C248">
        <v>78</v>
      </c>
      <c r="D248">
        <v>170</v>
      </c>
      <c r="E248" t="s">
        <v>9</v>
      </c>
      <c r="F248">
        <v>380</v>
      </c>
      <c r="G248">
        <f>394-0</f>
        <v>394</v>
      </c>
      <c r="H248">
        <v>377.08851992266602</v>
      </c>
      <c r="I248">
        <v>377.70729131353198</v>
      </c>
      <c r="J248" s="6">
        <f>(H248-G248)/G248</f>
        <v>-4.2922538267345121E-2</v>
      </c>
      <c r="K248" s="3">
        <f>(I248-G248)/G248</f>
        <v>-4.1352052503725936E-2</v>
      </c>
      <c r="L248" s="6">
        <f>ABS(J248)</f>
        <v>4.2922538267345121E-2</v>
      </c>
      <c r="M248" s="3">
        <f>ABS(K248)</f>
        <v>4.1352052503725936E-2</v>
      </c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</row>
    <row r="249" spans="1:34" x14ac:dyDescent="0.35">
      <c r="A249">
        <v>248</v>
      </c>
      <c r="B249">
        <v>22</v>
      </c>
      <c r="C249">
        <v>78</v>
      </c>
      <c r="D249">
        <v>170</v>
      </c>
      <c r="E249" t="s">
        <v>9</v>
      </c>
      <c r="F249">
        <v>381</v>
      </c>
      <c r="G249">
        <f>718-338</f>
        <v>380</v>
      </c>
      <c r="H249">
        <v>377.51379008399903</v>
      </c>
      <c r="I249">
        <v>378.06429408613297</v>
      </c>
      <c r="J249" s="6">
        <f>(H249-G249)/G249</f>
        <v>-6.5426576736867725E-3</v>
      </c>
      <c r="K249" s="3">
        <f>(I249-G249)/G249</f>
        <v>-5.0939629312290137E-3</v>
      </c>
      <c r="L249" s="6">
        <f>ABS(J249)</f>
        <v>6.5426576736867725E-3</v>
      </c>
      <c r="M249" s="3">
        <f>ABS(K249)</f>
        <v>5.0939629312290137E-3</v>
      </c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</row>
    <row r="250" spans="1:34" x14ac:dyDescent="0.35">
      <c r="A250">
        <v>249</v>
      </c>
      <c r="B250">
        <v>22</v>
      </c>
      <c r="C250">
        <v>78</v>
      </c>
      <c r="D250">
        <v>170</v>
      </c>
      <c r="E250" t="s">
        <v>9</v>
      </c>
      <c r="F250">
        <v>413</v>
      </c>
      <c r="G250">
        <f>866-500</f>
        <v>366</v>
      </c>
      <c r="H250">
        <v>391.12243524663501</v>
      </c>
      <c r="I250">
        <v>391.473227306642</v>
      </c>
      <c r="J250" s="6">
        <f>(H250-G250)/G250</f>
        <v>6.8640533460751385E-2</v>
      </c>
      <c r="K250" s="3">
        <f>(I250-G250)/G250</f>
        <v>6.9598981712136618E-2</v>
      </c>
      <c r="L250" s="6">
        <f>ABS(J250)</f>
        <v>6.8640533460751385E-2</v>
      </c>
      <c r="M250" s="3">
        <f>ABS(K250)</f>
        <v>6.9598981712136618E-2</v>
      </c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</row>
    <row r="251" spans="1:34" x14ac:dyDescent="0.35">
      <c r="A251">
        <v>250</v>
      </c>
      <c r="B251">
        <v>22</v>
      </c>
      <c r="C251">
        <v>78</v>
      </c>
      <c r="D251">
        <v>170</v>
      </c>
      <c r="E251" t="s">
        <v>9</v>
      </c>
      <c r="F251">
        <v>397</v>
      </c>
      <c r="G251">
        <f>1095-670</f>
        <v>425</v>
      </c>
      <c r="H251">
        <v>384.31811266531702</v>
      </c>
      <c r="I251">
        <v>384.20704783886498</v>
      </c>
      <c r="J251" s="6">
        <f>(H251-G251)/G251</f>
        <v>-9.5722087846312906E-2</v>
      </c>
      <c r="K251" s="3">
        <f>(I251-G251)/G251</f>
        <v>-9.5983416849729455E-2</v>
      </c>
      <c r="L251" s="6">
        <f>ABS(J251)</f>
        <v>9.5722087846312906E-2</v>
      </c>
      <c r="M251" s="3">
        <f>ABS(K251)</f>
        <v>9.5983416849729455E-2</v>
      </c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</row>
    <row r="252" spans="1:34" x14ac:dyDescent="0.35">
      <c r="A252">
        <v>251</v>
      </c>
      <c r="B252">
        <v>22</v>
      </c>
      <c r="C252">
        <v>78</v>
      </c>
      <c r="D252">
        <v>170</v>
      </c>
      <c r="E252" t="s">
        <v>9</v>
      </c>
      <c r="F252">
        <v>381</v>
      </c>
      <c r="G252">
        <f>1436-1046</f>
        <v>390</v>
      </c>
      <c r="H252">
        <v>377.51379008399903</v>
      </c>
      <c r="I252">
        <v>378.06429408613297</v>
      </c>
      <c r="J252" s="6">
        <f>(H252-G252)/G252</f>
        <v>-3.2015922861540959E-2</v>
      </c>
      <c r="K252" s="3">
        <f>(I252-G252)/G252</f>
        <v>-3.0604374138120578E-2</v>
      </c>
      <c r="L252" s="6">
        <f>ABS(J252)</f>
        <v>3.2015922861540959E-2</v>
      </c>
      <c r="M252" s="3">
        <f>ABS(K252)</f>
        <v>3.0604374138120578E-2</v>
      </c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</row>
    <row r="253" spans="1:34" x14ac:dyDescent="0.35">
      <c r="A253">
        <v>252</v>
      </c>
      <c r="B253">
        <v>22</v>
      </c>
      <c r="C253">
        <v>78</v>
      </c>
      <c r="D253">
        <v>170</v>
      </c>
      <c r="E253" t="s">
        <v>9</v>
      </c>
      <c r="F253">
        <v>380</v>
      </c>
      <c r="G253">
        <f>547-149</f>
        <v>398</v>
      </c>
      <c r="H253">
        <v>377.08851992266602</v>
      </c>
      <c r="I253">
        <v>377.70729131353198</v>
      </c>
      <c r="J253" s="6">
        <f>(H253-G253)/G253</f>
        <v>-5.2541407229482355E-2</v>
      </c>
      <c r="K253" s="3">
        <f>(I253-G253)/G253</f>
        <v>-5.0986705242381955E-2</v>
      </c>
      <c r="L253" s="6">
        <f>ABS(J253)</f>
        <v>5.2541407229482355E-2</v>
      </c>
      <c r="M253" s="3">
        <f>ABS(K253)</f>
        <v>5.0986705242381955E-2</v>
      </c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</row>
    <row r="254" spans="1:34" x14ac:dyDescent="0.35">
      <c r="A254">
        <v>253</v>
      </c>
      <c r="B254">
        <v>22</v>
      </c>
      <c r="C254">
        <v>78</v>
      </c>
      <c r="D254">
        <v>170</v>
      </c>
      <c r="E254" t="s">
        <v>9</v>
      </c>
      <c r="F254">
        <v>380</v>
      </c>
      <c r="G254">
        <f>543-200</f>
        <v>343</v>
      </c>
      <c r="H254">
        <v>377.08851992266602</v>
      </c>
      <c r="I254">
        <v>377.70729131353198</v>
      </c>
      <c r="J254" s="6">
        <f>(H254-G254)/G254</f>
        <v>9.9383440007772661E-2</v>
      </c>
      <c r="K254" s="3">
        <f>(I254-G254)/G254</f>
        <v>0.10118743823187167</v>
      </c>
      <c r="L254" s="6">
        <f>ABS(J254)</f>
        <v>9.9383440007772661E-2</v>
      </c>
      <c r="M254" s="3">
        <f>ABS(K254)</f>
        <v>0.10118743823187167</v>
      </c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</row>
    <row r="255" spans="1:34" x14ac:dyDescent="0.35">
      <c r="A255">
        <v>254</v>
      </c>
      <c r="B255">
        <v>22</v>
      </c>
      <c r="C255">
        <v>78</v>
      </c>
      <c r="D255">
        <v>170</v>
      </c>
      <c r="E255" t="s">
        <v>9</v>
      </c>
      <c r="F255">
        <v>414</v>
      </c>
      <c r="G255">
        <f>443-38</f>
        <v>405</v>
      </c>
      <c r="H255">
        <v>391.54770540796699</v>
      </c>
      <c r="I255">
        <v>392.12173170842698</v>
      </c>
      <c r="J255" s="6">
        <f>(H255-G255)/G255</f>
        <v>-3.3215542202550651E-2</v>
      </c>
      <c r="K255" s="3">
        <f>(I255-G255)/G255</f>
        <v>-3.179819331252598E-2</v>
      </c>
      <c r="L255" s="6">
        <f>ABS(J255)</f>
        <v>3.3215542202550651E-2</v>
      </c>
      <c r="M255" s="3">
        <f>ABS(K255)</f>
        <v>3.179819331252598E-2</v>
      </c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</row>
    <row r="256" spans="1:34" x14ac:dyDescent="0.35">
      <c r="A256">
        <v>255</v>
      </c>
      <c r="B256">
        <v>22</v>
      </c>
      <c r="C256">
        <v>78</v>
      </c>
      <c r="D256">
        <v>170</v>
      </c>
      <c r="E256" t="s">
        <v>9</v>
      </c>
      <c r="F256">
        <v>427</v>
      </c>
      <c r="G256">
        <f>1155-724</f>
        <v>431</v>
      </c>
      <c r="H256">
        <v>397.07621750528801</v>
      </c>
      <c r="I256">
        <v>400.97780003812397</v>
      </c>
      <c r="J256" s="6">
        <f>(H256-G256)/G256</f>
        <v>-7.8709472145503445E-2</v>
      </c>
      <c r="K256" s="3">
        <f>(I256-G256)/G256</f>
        <v>-6.9657076477670596E-2</v>
      </c>
      <c r="L256" s="6">
        <f>ABS(J256)</f>
        <v>7.8709472145503445E-2</v>
      </c>
      <c r="M256" s="3">
        <f>ABS(K256)</f>
        <v>6.9657076477670596E-2</v>
      </c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</row>
    <row r="257" spans="1:34" x14ac:dyDescent="0.35">
      <c r="A257">
        <v>256</v>
      </c>
      <c r="B257">
        <v>22</v>
      </c>
      <c r="C257">
        <v>78</v>
      </c>
      <c r="D257">
        <v>170</v>
      </c>
      <c r="E257" t="s">
        <v>9</v>
      </c>
      <c r="F257">
        <v>412</v>
      </c>
      <c r="G257">
        <f>982-592</f>
        <v>390</v>
      </c>
      <c r="H257">
        <v>390.69716508530303</v>
      </c>
      <c r="I257">
        <v>390.99151157000898</v>
      </c>
      <c r="J257" s="6">
        <f>(H257-G257)/G257</f>
        <v>1.7876027828282741E-3</v>
      </c>
      <c r="K257" s="3">
        <f>(I257-G257)/G257</f>
        <v>2.5423373589973882E-3</v>
      </c>
      <c r="L257" s="6">
        <f>ABS(J257)</f>
        <v>1.7876027828282741E-3</v>
      </c>
      <c r="M257" s="3">
        <f>ABS(K257)</f>
        <v>2.5423373589973882E-3</v>
      </c>
      <c r="O257" s="20"/>
      <c r="P257" s="20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</row>
    <row r="258" spans="1:34" x14ac:dyDescent="0.35">
      <c r="A258">
        <v>257</v>
      </c>
      <c r="B258">
        <v>22</v>
      </c>
      <c r="C258">
        <v>78</v>
      </c>
      <c r="D258">
        <v>170</v>
      </c>
      <c r="E258" t="s">
        <v>9</v>
      </c>
      <c r="F258">
        <v>397</v>
      </c>
      <c r="G258">
        <f>688-268</f>
        <v>420</v>
      </c>
      <c r="H258">
        <v>384.31811266531702</v>
      </c>
      <c r="I258">
        <v>384.20704783886498</v>
      </c>
      <c r="J258" s="6">
        <f>(H258-G258)/G258</f>
        <v>-8.4956874606388053E-2</v>
      </c>
      <c r="K258" s="3">
        <f>(I258-G258)/G258</f>
        <v>-8.5221314669369094E-2</v>
      </c>
      <c r="L258" s="6">
        <f>ABS(J258)</f>
        <v>8.4956874606388053E-2</v>
      </c>
      <c r="M258" s="3">
        <f>ABS(K258)</f>
        <v>8.5221314669369094E-2</v>
      </c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</row>
    <row r="259" spans="1:34" x14ac:dyDescent="0.35">
      <c r="A259">
        <v>258</v>
      </c>
      <c r="B259">
        <v>22</v>
      </c>
      <c r="C259">
        <v>78</v>
      </c>
      <c r="D259">
        <v>170</v>
      </c>
      <c r="E259" t="s">
        <v>9</v>
      </c>
      <c r="F259">
        <v>380</v>
      </c>
      <c r="G259">
        <f>584-200</f>
        <v>384</v>
      </c>
      <c r="H259">
        <v>377.08851992266602</v>
      </c>
      <c r="I259">
        <v>377.70729131353198</v>
      </c>
      <c r="J259" s="6">
        <f>(H259-G259)/G259</f>
        <v>-1.7998646034723897E-2</v>
      </c>
      <c r="K259" s="3">
        <f>(I259-G259)/G259</f>
        <v>-1.6387262204343795E-2</v>
      </c>
      <c r="L259" s="6">
        <f>ABS(J259)</f>
        <v>1.7998646034723897E-2</v>
      </c>
      <c r="M259" s="3">
        <f>ABS(K259)</f>
        <v>1.6387262204343795E-2</v>
      </c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</row>
    <row r="260" spans="1:34" x14ac:dyDescent="0.35">
      <c r="A260">
        <v>259</v>
      </c>
      <c r="B260">
        <v>22</v>
      </c>
      <c r="C260">
        <v>78</v>
      </c>
      <c r="D260">
        <v>170</v>
      </c>
      <c r="E260" t="s">
        <v>9</v>
      </c>
      <c r="F260">
        <v>380</v>
      </c>
      <c r="G260">
        <f>969-548</f>
        <v>421</v>
      </c>
      <c r="H260">
        <v>377.08851992266602</v>
      </c>
      <c r="I260">
        <v>377.70729131353198</v>
      </c>
      <c r="J260" s="6">
        <f>(H260-G260)/G260</f>
        <v>-0.10430280303404744</v>
      </c>
      <c r="K260" s="3">
        <f>(I260-G260)/G260</f>
        <v>-0.10283303726001905</v>
      </c>
      <c r="L260" s="6">
        <f>ABS(J260)</f>
        <v>0.10430280303404744</v>
      </c>
      <c r="M260" s="3">
        <f>ABS(K260)</f>
        <v>0.10283303726001905</v>
      </c>
      <c r="O260" s="20"/>
      <c r="P260" s="20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</row>
    <row r="261" spans="1:34" x14ac:dyDescent="0.35">
      <c r="A261">
        <v>260</v>
      </c>
      <c r="B261">
        <v>22</v>
      </c>
      <c r="C261">
        <v>78</v>
      </c>
      <c r="D261">
        <v>170</v>
      </c>
      <c r="E261" t="s">
        <v>9</v>
      </c>
      <c r="F261">
        <v>412</v>
      </c>
      <c r="G261">
        <f>354-0</f>
        <v>354</v>
      </c>
      <c r="H261">
        <v>390.69716508530303</v>
      </c>
      <c r="I261">
        <v>390.99151157000898</v>
      </c>
      <c r="J261" s="6">
        <f>(H261-G261)/G261</f>
        <v>0.10366430815057352</v>
      </c>
      <c r="K261" s="3">
        <f>(I261-G261)/G261</f>
        <v>0.1044957953955056</v>
      </c>
      <c r="L261" s="6">
        <f>ABS(J261)</f>
        <v>0.10366430815057352</v>
      </c>
      <c r="M261" s="3">
        <f>ABS(K261)</f>
        <v>0.1044957953955056</v>
      </c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</row>
    <row r="262" spans="1:34" x14ac:dyDescent="0.35">
      <c r="A262">
        <v>261</v>
      </c>
      <c r="B262">
        <v>22</v>
      </c>
      <c r="C262">
        <v>78</v>
      </c>
      <c r="D262">
        <v>170</v>
      </c>
      <c r="E262" t="s">
        <v>9</v>
      </c>
      <c r="F262">
        <v>348</v>
      </c>
      <c r="G262">
        <f>837-450</f>
        <v>387</v>
      </c>
      <c r="H262">
        <v>363.47987476002999</v>
      </c>
      <c r="I262">
        <v>380.82727452775299</v>
      </c>
      <c r="J262" s="6">
        <f>(H262-G262)/G262</f>
        <v>-6.0775517415943191E-2</v>
      </c>
      <c r="K262" s="3">
        <f>(I262-G262)/G262</f>
        <v>-1.5950195018726122E-2</v>
      </c>
      <c r="L262" s="6">
        <f>ABS(J262)</f>
        <v>6.0775517415943191E-2</v>
      </c>
      <c r="M262" s="3">
        <f>ABS(K262)</f>
        <v>1.5950195018726122E-2</v>
      </c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</row>
    <row r="263" spans="1:34" x14ac:dyDescent="0.35">
      <c r="A263">
        <v>262</v>
      </c>
      <c r="B263">
        <v>22</v>
      </c>
      <c r="C263">
        <v>78</v>
      </c>
      <c r="D263">
        <v>170</v>
      </c>
      <c r="E263" t="s">
        <v>9</v>
      </c>
      <c r="F263">
        <v>396</v>
      </c>
      <c r="G263">
        <f>426-56</f>
        <v>370</v>
      </c>
      <c r="H263">
        <v>383.89284250398401</v>
      </c>
      <c r="I263">
        <v>383.77630303494601</v>
      </c>
      <c r="J263" s="6">
        <f>(H263-G263)/G263</f>
        <v>3.7548222983740574E-2</v>
      </c>
      <c r="K263" s="3">
        <f>(I263-G263)/G263</f>
        <v>3.7233251445800031E-2</v>
      </c>
      <c r="L263" s="6">
        <f>ABS(J263)</f>
        <v>3.7548222983740574E-2</v>
      </c>
      <c r="M263" s="3">
        <f>ABS(K263)</f>
        <v>3.7233251445800031E-2</v>
      </c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</row>
    <row r="264" spans="1:34" x14ac:dyDescent="0.35">
      <c r="A264">
        <v>263</v>
      </c>
      <c r="B264">
        <v>22</v>
      </c>
      <c r="C264">
        <v>78</v>
      </c>
      <c r="D264">
        <v>170</v>
      </c>
      <c r="E264" t="s">
        <v>9</v>
      </c>
      <c r="F264">
        <v>461</v>
      </c>
      <c r="G264">
        <f>402-0</f>
        <v>402</v>
      </c>
      <c r="H264">
        <v>411.53540299059</v>
      </c>
      <c r="I264">
        <v>427.15743005629599</v>
      </c>
      <c r="J264" s="6">
        <f>(H264-G264)/G264</f>
        <v>2.3719907936791046E-2</v>
      </c>
      <c r="K264" s="3">
        <f>(I264-G264)/G264</f>
        <v>6.2580671781830827E-2</v>
      </c>
      <c r="L264" s="6">
        <f>ABS(J264)</f>
        <v>2.3719907936791046E-2</v>
      </c>
      <c r="M264" s="3">
        <f>ABS(K264)</f>
        <v>6.2580671781830827E-2</v>
      </c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</row>
    <row r="265" spans="1:34" x14ac:dyDescent="0.35">
      <c r="A265">
        <v>264</v>
      </c>
      <c r="B265">
        <v>22</v>
      </c>
      <c r="C265">
        <v>78</v>
      </c>
      <c r="D265">
        <v>170</v>
      </c>
      <c r="E265" t="s">
        <v>9</v>
      </c>
      <c r="F265">
        <v>416</v>
      </c>
      <c r="G265">
        <f>786-365</f>
        <v>421</v>
      </c>
      <c r="H265">
        <v>392.39824573063203</v>
      </c>
      <c r="I265">
        <v>393.48420375914901</v>
      </c>
      <c r="J265" s="6">
        <f>(H265-G265)/G265</f>
        <v>-6.7937658597073569E-2</v>
      </c>
      <c r="K265" s="3">
        <f>(I265-G265)/G265</f>
        <v>-6.5358185845251757E-2</v>
      </c>
      <c r="L265" s="6">
        <f>ABS(J265)</f>
        <v>6.7937658597073569E-2</v>
      </c>
      <c r="M265" s="3">
        <f>ABS(K265)</f>
        <v>6.5358185845251757E-2</v>
      </c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</row>
    <row r="266" spans="1:34" x14ac:dyDescent="0.35">
      <c r="A266">
        <v>265</v>
      </c>
      <c r="B266">
        <v>22</v>
      </c>
      <c r="C266">
        <v>78</v>
      </c>
      <c r="D266">
        <v>170</v>
      </c>
      <c r="E266" t="s">
        <v>9</v>
      </c>
      <c r="F266">
        <v>398</v>
      </c>
      <c r="G266">
        <f>648-272</f>
        <v>376</v>
      </c>
      <c r="H266">
        <v>384.743382826649</v>
      </c>
      <c r="I266">
        <v>384.63779264278401</v>
      </c>
      <c r="J266" s="6">
        <f>(H266-G266)/G266</f>
        <v>2.3253677730449458E-2</v>
      </c>
      <c r="K266" s="3">
        <f>(I266-G266)/G266</f>
        <v>2.297285277336172E-2</v>
      </c>
      <c r="L266" s="6">
        <f>ABS(J266)</f>
        <v>2.3253677730449458E-2</v>
      </c>
      <c r="M266" s="3">
        <f>ABS(K266)</f>
        <v>2.297285277336172E-2</v>
      </c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</row>
    <row r="267" spans="1:34" x14ac:dyDescent="0.35">
      <c r="A267">
        <v>266</v>
      </c>
      <c r="B267">
        <v>22</v>
      </c>
      <c r="C267">
        <v>78</v>
      </c>
      <c r="D267">
        <v>170</v>
      </c>
      <c r="E267" t="s">
        <v>9</v>
      </c>
      <c r="F267">
        <v>380</v>
      </c>
      <c r="G267">
        <f>1045-679</f>
        <v>366</v>
      </c>
      <c r="H267">
        <v>377.08851992266602</v>
      </c>
      <c r="I267">
        <v>377.70729131353198</v>
      </c>
      <c r="J267" s="6">
        <f>(H267-G267)/G267</f>
        <v>3.0296502520945418E-2</v>
      </c>
      <c r="K267" s="3">
        <f>(I267-G267)/G267</f>
        <v>3.1987134736426184E-2</v>
      </c>
      <c r="L267" s="6">
        <f>ABS(J267)</f>
        <v>3.0296502520945418E-2</v>
      </c>
      <c r="M267" s="3">
        <f>ABS(K267)</f>
        <v>3.1987134736426184E-2</v>
      </c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</row>
    <row r="268" spans="1:34" x14ac:dyDescent="0.35">
      <c r="A268">
        <v>267</v>
      </c>
      <c r="B268">
        <v>22</v>
      </c>
      <c r="C268">
        <v>78</v>
      </c>
      <c r="D268">
        <v>170</v>
      </c>
      <c r="E268" t="s">
        <v>9</v>
      </c>
      <c r="F268">
        <v>407</v>
      </c>
      <c r="G268">
        <f>633-236</f>
        <v>397</v>
      </c>
      <c r="H268">
        <v>388.57081427864102</v>
      </c>
      <c r="I268">
        <v>388.58293288684803</v>
      </c>
      <c r="J268" s="6">
        <f>(H268-G268)/G268</f>
        <v>-2.1232205847251828E-2</v>
      </c>
      <c r="K268" s="3">
        <f>(I268-G268)/G268</f>
        <v>-2.120168038577323E-2</v>
      </c>
      <c r="L268" s="6">
        <f>ABS(J268)</f>
        <v>2.1232205847251828E-2</v>
      </c>
      <c r="M268" s="3">
        <f>ABS(K268)</f>
        <v>2.120168038577323E-2</v>
      </c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</row>
    <row r="269" spans="1:34" x14ac:dyDescent="0.35">
      <c r="A269">
        <v>268</v>
      </c>
      <c r="B269">
        <v>22</v>
      </c>
      <c r="C269">
        <v>78</v>
      </c>
      <c r="D269">
        <v>170</v>
      </c>
      <c r="E269" t="s">
        <v>9</v>
      </c>
      <c r="F269">
        <v>397</v>
      </c>
      <c r="G269">
        <f>326-0</f>
        <v>326</v>
      </c>
      <c r="H269">
        <v>384.31811266531702</v>
      </c>
      <c r="I269">
        <v>384.20704783886498</v>
      </c>
      <c r="J269" s="6">
        <f>(H269-G269)/G269</f>
        <v>0.17888991615127919</v>
      </c>
      <c r="K269" s="3">
        <f>(I269-G269)/G269</f>
        <v>0.17854922649958582</v>
      </c>
      <c r="L269" s="6">
        <f>ABS(J269)</f>
        <v>0.17888991615127919</v>
      </c>
      <c r="M269" s="3">
        <f>ABS(K269)</f>
        <v>0.17854922649958582</v>
      </c>
      <c r="O269" s="20"/>
      <c r="P269" s="20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</row>
    <row r="270" spans="1:34" x14ac:dyDescent="0.35">
      <c r="A270">
        <v>269</v>
      </c>
      <c r="B270">
        <v>22</v>
      </c>
      <c r="C270">
        <v>78</v>
      </c>
      <c r="D270">
        <v>170</v>
      </c>
      <c r="E270" t="s">
        <v>9</v>
      </c>
      <c r="F270">
        <v>379</v>
      </c>
      <c r="G270">
        <f>594-187</f>
        <v>407</v>
      </c>
      <c r="H270">
        <v>376.66324976133399</v>
      </c>
      <c r="I270">
        <v>377.35028854093201</v>
      </c>
      <c r="J270" s="6">
        <f>(H270-G270)/G270</f>
        <v>-7.4537469873872275E-2</v>
      </c>
      <c r="K270" s="3">
        <f>(I270-G270)/G270</f>
        <v>-7.2849413904343949E-2</v>
      </c>
      <c r="L270" s="6">
        <f>ABS(J270)</f>
        <v>7.4537469873872275E-2</v>
      </c>
      <c r="M270" s="3">
        <f>ABS(K270)</f>
        <v>7.2849413904343949E-2</v>
      </c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</row>
    <row r="271" spans="1:34" x14ac:dyDescent="0.35">
      <c r="A271">
        <v>270</v>
      </c>
      <c r="B271">
        <v>22</v>
      </c>
      <c r="C271">
        <v>78</v>
      </c>
      <c r="D271">
        <v>170</v>
      </c>
      <c r="E271" t="s">
        <v>9</v>
      </c>
      <c r="F271">
        <v>357</v>
      </c>
      <c r="G271">
        <f>403-56</f>
        <v>347</v>
      </c>
      <c r="H271">
        <v>367.30730621202099</v>
      </c>
      <c r="I271">
        <v>377.05675668006199</v>
      </c>
      <c r="J271" s="6">
        <f>(H271-G271)/G271</f>
        <v>5.8522496288244928E-2</v>
      </c>
      <c r="K271" s="3">
        <f>(I271-G271)/G271</f>
        <v>8.6618895331590756E-2</v>
      </c>
      <c r="L271" s="6">
        <f>ABS(J271)</f>
        <v>5.8522496288244928E-2</v>
      </c>
      <c r="M271" s="3">
        <f>ABS(K271)</f>
        <v>8.6618895331590756E-2</v>
      </c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</row>
    <row r="272" spans="1:34" x14ac:dyDescent="0.35">
      <c r="A272">
        <v>271</v>
      </c>
      <c r="B272">
        <v>22</v>
      </c>
      <c r="C272">
        <v>78</v>
      </c>
      <c r="D272">
        <v>170</v>
      </c>
      <c r="E272" t="s">
        <v>9</v>
      </c>
      <c r="F272">
        <v>416</v>
      </c>
      <c r="G272">
        <f>1424-1022</f>
        <v>402</v>
      </c>
      <c r="H272">
        <v>392.39824573063203</v>
      </c>
      <c r="I272">
        <v>393.48420375914901</v>
      </c>
      <c r="J272" s="6">
        <f>(H272-G272)/G272</f>
        <v>-2.3884960869074559E-2</v>
      </c>
      <c r="K272" s="3">
        <f>(I272-G272)/G272</f>
        <v>-2.1183572738435297E-2</v>
      </c>
      <c r="L272" s="6">
        <f>ABS(J272)</f>
        <v>2.3884960869074559E-2</v>
      </c>
      <c r="M272" s="3">
        <f>ABS(K272)</f>
        <v>2.1183572738435297E-2</v>
      </c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</row>
    <row r="273" spans="1:34" x14ac:dyDescent="0.35">
      <c r="A273">
        <v>272</v>
      </c>
      <c r="B273">
        <v>22</v>
      </c>
      <c r="C273">
        <v>78</v>
      </c>
      <c r="D273">
        <v>170</v>
      </c>
      <c r="E273" t="s">
        <v>9</v>
      </c>
      <c r="F273">
        <v>395</v>
      </c>
      <c r="G273">
        <f>815-440</f>
        <v>375</v>
      </c>
      <c r="H273">
        <v>383.46757234265198</v>
      </c>
      <c r="I273">
        <v>383.34555823102602</v>
      </c>
      <c r="J273" s="6">
        <f>(H273-G273)/G273</f>
        <v>2.2580192913738605E-2</v>
      </c>
      <c r="K273" s="3">
        <f>(I273-G273)/G273</f>
        <v>2.2254821949402717E-2</v>
      </c>
      <c r="L273" s="6">
        <f>ABS(J273)</f>
        <v>2.2580192913738605E-2</v>
      </c>
      <c r="M273" s="3">
        <f>ABS(K273)</f>
        <v>2.2254821949402717E-2</v>
      </c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</row>
    <row r="274" spans="1:34" x14ac:dyDescent="0.35">
      <c r="A274">
        <v>273</v>
      </c>
      <c r="B274">
        <v>22</v>
      </c>
      <c r="C274">
        <v>78</v>
      </c>
      <c r="D274">
        <v>170</v>
      </c>
      <c r="E274" t="s">
        <v>9</v>
      </c>
      <c r="F274">
        <v>412</v>
      </c>
      <c r="G274">
        <f>932-535</f>
        <v>397</v>
      </c>
      <c r="H274">
        <v>390.69716508530303</v>
      </c>
      <c r="I274">
        <v>390.99151157000898</v>
      </c>
      <c r="J274" s="6">
        <f>(H274-G274)/G274</f>
        <v>-1.5876158475307236E-2</v>
      </c>
      <c r="K274" s="3">
        <f>(I274-G274)/G274</f>
        <v>-1.5134731561690224E-2</v>
      </c>
      <c r="L274" s="6">
        <f>ABS(J274)</f>
        <v>1.5876158475307236E-2</v>
      </c>
      <c r="M274" s="3">
        <f>ABS(K274)</f>
        <v>1.5134731561690224E-2</v>
      </c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</row>
    <row r="275" spans="1:34" x14ac:dyDescent="0.35">
      <c r="A275">
        <v>274</v>
      </c>
      <c r="B275">
        <v>22</v>
      </c>
      <c r="C275">
        <v>78</v>
      </c>
      <c r="D275">
        <v>170</v>
      </c>
      <c r="E275" t="s">
        <v>9</v>
      </c>
      <c r="F275">
        <v>396</v>
      </c>
      <c r="G275">
        <f>449-68</f>
        <v>381</v>
      </c>
      <c r="H275">
        <v>383.89284250398401</v>
      </c>
      <c r="I275">
        <v>383.77630303494601</v>
      </c>
      <c r="J275" s="6">
        <f>(H275-G275)/G275</f>
        <v>7.5927624776483292E-3</v>
      </c>
      <c r="K275" s="3">
        <f>(I275-G275)/G275</f>
        <v>7.2868846061575092E-3</v>
      </c>
      <c r="L275" s="6">
        <f>ABS(J275)</f>
        <v>7.5927624776483292E-3</v>
      </c>
      <c r="M275" s="3">
        <f>ABS(K275)</f>
        <v>7.2868846061575092E-3</v>
      </c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</row>
    <row r="276" spans="1:34" x14ac:dyDescent="0.35">
      <c r="A276">
        <v>275</v>
      </c>
      <c r="B276">
        <v>22</v>
      </c>
      <c r="C276">
        <v>78</v>
      </c>
      <c r="D276">
        <v>170</v>
      </c>
      <c r="E276" t="s">
        <v>9</v>
      </c>
      <c r="F276">
        <v>411</v>
      </c>
      <c r="G276">
        <f>628-244</f>
        <v>384</v>
      </c>
      <c r="H276">
        <v>390.27189492397002</v>
      </c>
      <c r="I276">
        <v>390.50979583337698</v>
      </c>
      <c r="J276" s="6">
        <f>(H276-G276)/G276</f>
        <v>1.6333059697838603E-2</v>
      </c>
      <c r="K276" s="3">
        <f>(I276-G276)/G276</f>
        <v>1.6952593316085895E-2</v>
      </c>
      <c r="L276" s="6">
        <f>ABS(J276)</f>
        <v>1.6333059697838603E-2</v>
      </c>
      <c r="M276" s="3">
        <f>ABS(K276)</f>
        <v>1.6952593316085895E-2</v>
      </c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</row>
    <row r="277" spans="1:34" x14ac:dyDescent="0.35">
      <c r="A277">
        <v>276</v>
      </c>
      <c r="B277">
        <v>22</v>
      </c>
      <c r="C277">
        <v>78</v>
      </c>
      <c r="D277">
        <v>170</v>
      </c>
      <c r="E277" t="s">
        <v>9</v>
      </c>
      <c r="F277">
        <v>396</v>
      </c>
      <c r="G277">
        <f>573-204</f>
        <v>369</v>
      </c>
      <c r="H277">
        <v>383.89284250398401</v>
      </c>
      <c r="I277">
        <v>383.77630303494601</v>
      </c>
      <c r="J277" s="6">
        <f>(H277-G277)/G277</f>
        <v>4.0360006785864537E-2</v>
      </c>
      <c r="K277" s="3">
        <f>(I277-G277)/G277</f>
        <v>4.0044181666520358E-2</v>
      </c>
      <c r="L277" s="6">
        <f>ABS(J277)</f>
        <v>4.0360006785864537E-2</v>
      </c>
      <c r="M277" s="3">
        <f>ABS(K277)</f>
        <v>4.0044181666520358E-2</v>
      </c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</row>
    <row r="278" spans="1:34" x14ac:dyDescent="0.35">
      <c r="A278">
        <v>277</v>
      </c>
      <c r="B278">
        <v>22</v>
      </c>
      <c r="C278">
        <v>78</v>
      </c>
      <c r="D278">
        <v>170</v>
      </c>
      <c r="E278" t="s">
        <v>9</v>
      </c>
      <c r="F278">
        <v>379</v>
      </c>
      <c r="G278">
        <f>431-58</f>
        <v>373</v>
      </c>
      <c r="H278">
        <v>376.66324976133399</v>
      </c>
      <c r="I278">
        <v>377.35028854093201</v>
      </c>
      <c r="J278" s="6">
        <f>(H278-G278)/G278</f>
        <v>9.821044936552243E-3</v>
      </c>
      <c r="K278" s="3">
        <f>(I278-G278)/G278</f>
        <v>1.1662971959603252E-2</v>
      </c>
      <c r="L278" s="6">
        <f>ABS(J278)</f>
        <v>9.821044936552243E-3</v>
      </c>
      <c r="M278" s="3">
        <f>ABS(K278)</f>
        <v>1.1662971959603252E-2</v>
      </c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</row>
    <row r="279" spans="1:34" x14ac:dyDescent="0.35">
      <c r="A279">
        <v>278</v>
      </c>
      <c r="B279">
        <v>22</v>
      </c>
      <c r="C279">
        <v>78</v>
      </c>
      <c r="D279">
        <v>170</v>
      </c>
      <c r="E279" t="s">
        <v>9</v>
      </c>
      <c r="F279">
        <v>396</v>
      </c>
      <c r="G279">
        <f>1205-861</f>
        <v>344</v>
      </c>
      <c r="H279">
        <v>383.89284250398401</v>
      </c>
      <c r="I279">
        <v>383.77630303494601</v>
      </c>
      <c r="J279" s="6">
        <f>(H279-G279)/G279</f>
        <v>0.11596756541855818</v>
      </c>
      <c r="K279" s="3">
        <f>(I279-G279)/G279</f>
        <v>0.11562878789228491</v>
      </c>
      <c r="L279" s="6">
        <f>ABS(J279)</f>
        <v>0.11596756541855818</v>
      </c>
      <c r="M279" s="3">
        <f>ABS(K279)</f>
        <v>0.11562878789228491</v>
      </c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</row>
    <row r="280" spans="1:34" x14ac:dyDescent="0.35">
      <c r="A280">
        <v>279</v>
      </c>
      <c r="B280">
        <v>22</v>
      </c>
      <c r="C280">
        <v>78</v>
      </c>
      <c r="D280">
        <v>170</v>
      </c>
      <c r="E280" t="s">
        <v>9</v>
      </c>
      <c r="F280">
        <v>398</v>
      </c>
      <c r="G280">
        <f>512-120</f>
        <v>392</v>
      </c>
      <c r="H280">
        <v>384.743382826649</v>
      </c>
      <c r="I280">
        <v>384.63779264278401</v>
      </c>
      <c r="J280" s="6">
        <f>(H280-G280)/G280</f>
        <v>-1.8511778503446437E-2</v>
      </c>
      <c r="K280" s="3">
        <f>(I280-G280)/G280</f>
        <v>-1.8781141217387737E-2</v>
      </c>
      <c r="L280" s="6">
        <f>ABS(J280)</f>
        <v>1.8511778503446437E-2</v>
      </c>
      <c r="M280" s="3">
        <f>ABS(K280)</f>
        <v>1.8781141217387737E-2</v>
      </c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</row>
    <row r="281" spans="1:34" x14ac:dyDescent="0.35">
      <c r="A281">
        <v>280</v>
      </c>
      <c r="B281">
        <v>22</v>
      </c>
      <c r="C281">
        <v>78</v>
      </c>
      <c r="D281">
        <v>170</v>
      </c>
      <c r="E281" t="s">
        <v>9</v>
      </c>
      <c r="F281">
        <v>395</v>
      </c>
      <c r="G281">
        <f>1193-822</f>
        <v>371</v>
      </c>
      <c r="H281">
        <v>383.46757234265198</v>
      </c>
      <c r="I281">
        <v>383.34555823102602</v>
      </c>
      <c r="J281" s="6">
        <f>(H281-G281)/G281</f>
        <v>3.3605316287471633E-2</v>
      </c>
      <c r="K281" s="3">
        <f>(I281-G281)/G281</f>
        <v>3.3276437280393582E-2</v>
      </c>
      <c r="L281" s="6">
        <f>ABS(J281)</f>
        <v>3.3605316287471633E-2</v>
      </c>
      <c r="M281" s="3">
        <f>ABS(K281)</f>
        <v>3.3276437280393582E-2</v>
      </c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</row>
    <row r="282" spans="1:34" x14ac:dyDescent="0.35">
      <c r="A282">
        <v>281</v>
      </c>
      <c r="B282">
        <v>22</v>
      </c>
      <c r="C282">
        <v>78</v>
      </c>
      <c r="D282">
        <v>170</v>
      </c>
      <c r="E282" t="s">
        <v>9</v>
      </c>
      <c r="F282">
        <v>379</v>
      </c>
      <c r="G282">
        <f>591-236</f>
        <v>355</v>
      </c>
      <c r="H282">
        <v>376.66324976133399</v>
      </c>
      <c r="I282">
        <v>377.35028854093201</v>
      </c>
      <c r="J282" s="6">
        <f>(H282-G282)/G282</f>
        <v>6.1023238764321086E-2</v>
      </c>
      <c r="K282" s="3">
        <f>(I282-G282)/G282</f>
        <v>6.2958559270231015E-2</v>
      </c>
      <c r="L282" s="6">
        <f>ABS(J282)</f>
        <v>6.1023238764321086E-2</v>
      </c>
      <c r="M282" s="3">
        <f>ABS(K282)</f>
        <v>6.2958559270231015E-2</v>
      </c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</row>
    <row r="283" spans="1:34" x14ac:dyDescent="0.35">
      <c r="A283">
        <v>282</v>
      </c>
      <c r="B283">
        <v>22</v>
      </c>
      <c r="C283">
        <v>78</v>
      </c>
      <c r="D283">
        <v>170</v>
      </c>
      <c r="E283" t="s">
        <v>9</v>
      </c>
      <c r="F283">
        <v>412</v>
      </c>
      <c r="G283">
        <f>408-0</f>
        <v>408</v>
      </c>
      <c r="H283">
        <v>390.69716508530303</v>
      </c>
      <c r="I283">
        <v>390.99151157000898</v>
      </c>
      <c r="J283" s="6">
        <f>(H283-G283)/G283</f>
        <v>-4.2408909104649443E-2</v>
      </c>
      <c r="K283" s="3">
        <f>(I283-G283)/G283</f>
        <v>-4.1687471642134849E-2</v>
      </c>
      <c r="L283" s="6">
        <f>ABS(J283)</f>
        <v>4.2408909104649443E-2</v>
      </c>
      <c r="M283" s="3">
        <f>ABS(K283)</f>
        <v>4.1687471642134849E-2</v>
      </c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</row>
    <row r="284" spans="1:34" x14ac:dyDescent="0.35">
      <c r="A284">
        <v>283</v>
      </c>
      <c r="B284">
        <v>22</v>
      </c>
      <c r="C284">
        <v>78</v>
      </c>
      <c r="D284">
        <v>170</v>
      </c>
      <c r="E284" t="s">
        <v>9</v>
      </c>
      <c r="F284">
        <v>411</v>
      </c>
      <c r="G284">
        <f>634-245</f>
        <v>389</v>
      </c>
      <c r="H284">
        <v>390.27189492397002</v>
      </c>
      <c r="I284">
        <v>390.50979583337698</v>
      </c>
      <c r="J284" s="6">
        <f>(H284-G284)/G284</f>
        <v>3.26965276084839E-3</v>
      </c>
      <c r="K284" s="3">
        <f>(I284-G284)/G284</f>
        <v>3.8812232220488017E-3</v>
      </c>
      <c r="L284" s="6">
        <f>ABS(J284)</f>
        <v>3.26965276084839E-3</v>
      </c>
      <c r="M284" s="3">
        <f>ABS(K284)</f>
        <v>3.8812232220488017E-3</v>
      </c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</row>
    <row r="285" spans="1:34" x14ac:dyDescent="0.35">
      <c r="A285">
        <v>284</v>
      </c>
      <c r="B285">
        <v>22</v>
      </c>
      <c r="C285">
        <v>78</v>
      </c>
      <c r="D285">
        <v>170</v>
      </c>
      <c r="E285" t="s">
        <v>9</v>
      </c>
      <c r="F285">
        <v>395</v>
      </c>
      <c r="G285">
        <f>1060-702</f>
        <v>358</v>
      </c>
      <c r="H285">
        <v>383.46757234265198</v>
      </c>
      <c r="I285">
        <v>383.34555823102602</v>
      </c>
      <c r="J285" s="6">
        <f>(H285-G285)/G285</f>
        <v>7.1138470230871442E-2</v>
      </c>
      <c r="K285" s="3">
        <f>(I285-G285)/G285</f>
        <v>7.0797648690016812E-2</v>
      </c>
      <c r="L285" s="6">
        <f>ABS(J285)</f>
        <v>7.1138470230871442E-2</v>
      </c>
      <c r="M285" s="3">
        <f>ABS(K285)</f>
        <v>7.0797648690016812E-2</v>
      </c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</row>
    <row r="286" spans="1:34" x14ac:dyDescent="0.35">
      <c r="A286">
        <v>285</v>
      </c>
      <c r="B286">
        <v>22</v>
      </c>
      <c r="C286">
        <v>78</v>
      </c>
      <c r="D286">
        <v>170</v>
      </c>
      <c r="E286" t="s">
        <v>9</v>
      </c>
      <c r="F286">
        <v>364</v>
      </c>
      <c r="G286">
        <f>792-399</f>
        <v>393</v>
      </c>
      <c r="H286">
        <v>370.28419734134798</v>
      </c>
      <c r="I286">
        <v>376.148061967221</v>
      </c>
      <c r="J286" s="6">
        <f>(H286-G286)/G286</f>
        <v>-5.7801024576722704E-2</v>
      </c>
      <c r="K286" s="3">
        <f>(I286-G286)/G286</f>
        <v>-4.2880249447274817E-2</v>
      </c>
      <c r="L286" s="6">
        <f>ABS(J286)</f>
        <v>5.7801024576722704E-2</v>
      </c>
      <c r="M286" s="3">
        <f>ABS(K286)</f>
        <v>4.2880249447274817E-2</v>
      </c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</row>
    <row r="287" spans="1:34" x14ac:dyDescent="0.35">
      <c r="A287">
        <v>286</v>
      </c>
      <c r="B287">
        <v>22</v>
      </c>
      <c r="C287">
        <v>78</v>
      </c>
      <c r="D287">
        <v>170</v>
      </c>
      <c r="E287" t="s">
        <v>9</v>
      </c>
      <c r="F287">
        <v>397</v>
      </c>
      <c r="G287">
        <f>1092-683</f>
        <v>409</v>
      </c>
      <c r="H287">
        <v>384.31811266531702</v>
      </c>
      <c r="I287">
        <v>384.20704783886498</v>
      </c>
      <c r="J287" s="6">
        <f>(H287-G287)/G287</f>
        <v>-6.0346912798735899E-2</v>
      </c>
      <c r="K287" s="3">
        <f>(I287-G287)/G287</f>
        <v>-6.0618464941650414E-2</v>
      </c>
      <c r="L287" s="6">
        <f>ABS(J287)</f>
        <v>6.0346912798735899E-2</v>
      </c>
      <c r="M287" s="3">
        <f>ABS(K287)</f>
        <v>6.0618464941650414E-2</v>
      </c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</row>
    <row r="288" spans="1:34" x14ac:dyDescent="0.35">
      <c r="A288">
        <v>287</v>
      </c>
      <c r="B288">
        <v>22</v>
      </c>
      <c r="C288">
        <v>78</v>
      </c>
      <c r="D288">
        <v>170</v>
      </c>
      <c r="E288" t="s">
        <v>9</v>
      </c>
      <c r="F288">
        <v>395</v>
      </c>
      <c r="G288">
        <f>688-304</f>
        <v>384</v>
      </c>
      <c r="H288">
        <v>383.46757234265198</v>
      </c>
      <c r="I288">
        <v>383.34555823102602</v>
      </c>
      <c r="J288" s="6">
        <f>(H288-G288)/G288</f>
        <v>-1.3865303576771442E-3</v>
      </c>
      <c r="K288" s="3">
        <f>(I288-G288)/G288</f>
        <v>-1.7042754400364106E-3</v>
      </c>
      <c r="L288" s="6">
        <f>ABS(J288)</f>
        <v>1.3865303576771442E-3</v>
      </c>
      <c r="M288" s="3">
        <f>ABS(K288)</f>
        <v>1.7042754400364106E-3</v>
      </c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</row>
    <row r="289" spans="1:34" x14ac:dyDescent="0.35">
      <c r="A289">
        <v>288</v>
      </c>
      <c r="B289">
        <v>22</v>
      </c>
      <c r="C289">
        <v>78</v>
      </c>
      <c r="D289">
        <v>170</v>
      </c>
      <c r="E289" t="s">
        <v>9</v>
      </c>
      <c r="F289">
        <v>429</v>
      </c>
      <c r="G289">
        <f>567-188</f>
        <v>379</v>
      </c>
      <c r="H289">
        <v>397.926757827953</v>
      </c>
      <c r="I289">
        <v>402.34027208884697</v>
      </c>
      <c r="J289" s="6">
        <f>(H289-G289)/G289</f>
        <v>4.9938675007791547E-2</v>
      </c>
      <c r="K289" s="3">
        <f>(I289-G289)/G289</f>
        <v>6.1583831368989372E-2</v>
      </c>
      <c r="L289" s="6">
        <f>ABS(J289)</f>
        <v>4.9938675007791547E-2</v>
      </c>
      <c r="M289" s="3">
        <f>ABS(K289)</f>
        <v>6.1583831368989372E-2</v>
      </c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</row>
    <row r="290" spans="1:34" x14ac:dyDescent="0.35">
      <c r="A290">
        <v>289</v>
      </c>
      <c r="B290">
        <v>22</v>
      </c>
      <c r="C290">
        <v>78</v>
      </c>
      <c r="D290">
        <v>170</v>
      </c>
      <c r="E290" t="s">
        <v>9</v>
      </c>
      <c r="F290">
        <v>396</v>
      </c>
      <c r="G290">
        <f>744-345</f>
        <v>399</v>
      </c>
      <c r="H290">
        <v>383.89284250398401</v>
      </c>
      <c r="I290">
        <v>383.77630303494601</v>
      </c>
      <c r="J290" s="6">
        <f>(H290-G290)/G290</f>
        <v>-3.7862550115328283E-2</v>
      </c>
      <c r="K290" s="3">
        <f>(I290-G290)/G290</f>
        <v>-3.8154628985097715E-2</v>
      </c>
      <c r="L290" s="6">
        <f>ABS(J290)</f>
        <v>3.7862550115328283E-2</v>
      </c>
      <c r="M290" s="3">
        <f>ABS(K290)</f>
        <v>3.8154628985097715E-2</v>
      </c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</row>
    <row r="291" spans="1:34" x14ac:dyDescent="0.35">
      <c r="A291">
        <v>290</v>
      </c>
      <c r="B291">
        <v>22</v>
      </c>
      <c r="C291">
        <v>78</v>
      </c>
      <c r="D291">
        <v>170</v>
      </c>
      <c r="E291" t="s">
        <v>9</v>
      </c>
      <c r="F291">
        <v>388</v>
      </c>
      <c r="G291">
        <f>1056-682</f>
        <v>374</v>
      </c>
      <c r="H291">
        <v>380.49068121332499</v>
      </c>
      <c r="I291">
        <v>380.563313494336</v>
      </c>
      <c r="J291" s="6">
        <f>(H291-G291)/G291</f>
        <v>1.7354762602473234E-2</v>
      </c>
      <c r="K291" s="3">
        <f>(I291-G291)/G291</f>
        <v>1.7548966562395723E-2</v>
      </c>
      <c r="L291" s="6">
        <f>ABS(J291)</f>
        <v>1.7354762602473234E-2</v>
      </c>
      <c r="M291" s="3">
        <f>ABS(K291)</f>
        <v>1.7548966562395723E-2</v>
      </c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</row>
    <row r="292" spans="1:34" x14ac:dyDescent="0.35">
      <c r="A292">
        <v>291</v>
      </c>
      <c r="B292">
        <v>22</v>
      </c>
      <c r="C292">
        <v>78</v>
      </c>
      <c r="D292">
        <v>170</v>
      </c>
      <c r="E292" t="s">
        <v>9</v>
      </c>
      <c r="F292">
        <v>428</v>
      </c>
      <c r="G292">
        <f>368-0</f>
        <v>368</v>
      </c>
      <c r="H292">
        <v>397.50148766662102</v>
      </c>
      <c r="I292">
        <v>401.65903606348502</v>
      </c>
      <c r="J292" s="6">
        <f>(H292-G292)/G292</f>
        <v>8.0167086050600592E-2</v>
      </c>
      <c r="K292" s="3">
        <f>(I292-G292)/G292</f>
        <v>9.1464771911644066E-2</v>
      </c>
      <c r="L292" s="6">
        <f>ABS(J292)</f>
        <v>8.0167086050600592E-2</v>
      </c>
      <c r="M292" s="3">
        <f>ABS(K292)</f>
        <v>9.1464771911644066E-2</v>
      </c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</row>
    <row r="293" spans="1:34" x14ac:dyDescent="0.35">
      <c r="A293">
        <v>292</v>
      </c>
      <c r="B293">
        <v>22</v>
      </c>
      <c r="C293">
        <v>78</v>
      </c>
      <c r="D293">
        <v>170</v>
      </c>
      <c r="E293" t="s">
        <v>9</v>
      </c>
      <c r="F293">
        <v>411</v>
      </c>
      <c r="G293">
        <f>405-7</f>
        <v>398</v>
      </c>
      <c r="H293">
        <v>390.27189492397002</v>
      </c>
      <c r="I293">
        <v>390.50979583337698</v>
      </c>
      <c r="J293" s="6">
        <f>(H293-G293)/G293</f>
        <v>-1.9417349437261248E-2</v>
      </c>
      <c r="K293" s="3">
        <f>(I293-G293)/G293</f>
        <v>-1.8819608458851798E-2</v>
      </c>
      <c r="L293" s="6">
        <f>ABS(J293)</f>
        <v>1.9417349437261248E-2</v>
      </c>
      <c r="M293" s="3">
        <f>ABS(K293)</f>
        <v>1.8819608458851798E-2</v>
      </c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</row>
    <row r="294" spans="1:34" x14ac:dyDescent="0.35">
      <c r="A294">
        <v>293</v>
      </c>
      <c r="B294">
        <v>22</v>
      </c>
      <c r="C294">
        <v>78</v>
      </c>
      <c r="D294">
        <v>170</v>
      </c>
      <c r="E294" t="s">
        <v>9</v>
      </c>
      <c r="F294">
        <v>379</v>
      </c>
      <c r="G294">
        <f>654-313</f>
        <v>341</v>
      </c>
      <c r="H294">
        <v>376.66324976133399</v>
      </c>
      <c r="I294">
        <v>377.35028854093201</v>
      </c>
      <c r="J294" s="6">
        <f>(H294-G294)/G294</f>
        <v>0.10458431015053955</v>
      </c>
      <c r="K294" s="3">
        <f>(I294-G294)/G294</f>
        <v>0.10659908663029916</v>
      </c>
      <c r="L294" s="6">
        <f>ABS(J294)</f>
        <v>0.10458431015053955</v>
      </c>
      <c r="M294" s="3">
        <f>ABS(K294)</f>
        <v>0.10659908663029916</v>
      </c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</row>
    <row r="295" spans="1:34" x14ac:dyDescent="0.35">
      <c r="A295">
        <v>294</v>
      </c>
      <c r="B295">
        <v>22</v>
      </c>
      <c r="C295">
        <v>78</v>
      </c>
      <c r="D295">
        <v>170</v>
      </c>
      <c r="E295" t="s">
        <v>9</v>
      </c>
      <c r="F295">
        <v>396</v>
      </c>
      <c r="G295">
        <f>694-326</f>
        <v>368</v>
      </c>
      <c r="H295">
        <v>383.89284250398401</v>
      </c>
      <c r="I295">
        <v>383.77630303494601</v>
      </c>
      <c r="J295" s="6">
        <f>(H295-G295)/G295</f>
        <v>4.3187072021695687E-2</v>
      </c>
      <c r="K295" s="3">
        <f>(I295-G295)/G295</f>
        <v>4.287038868191851E-2</v>
      </c>
      <c r="L295" s="6">
        <f>ABS(J295)</f>
        <v>4.3187072021695687E-2</v>
      </c>
      <c r="M295" s="3">
        <f>ABS(K295)</f>
        <v>4.287038868191851E-2</v>
      </c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</row>
    <row r="296" spans="1:34" x14ac:dyDescent="0.35">
      <c r="A296">
        <v>295</v>
      </c>
      <c r="B296">
        <v>22</v>
      </c>
      <c r="C296">
        <v>78</v>
      </c>
      <c r="D296">
        <v>170</v>
      </c>
      <c r="E296" t="s">
        <v>9</v>
      </c>
      <c r="F296">
        <v>361</v>
      </c>
      <c r="G296">
        <f>855-472</f>
        <v>383</v>
      </c>
      <c r="H296">
        <v>369.00838685735101</v>
      </c>
      <c r="I296">
        <v>376.53750255843801</v>
      </c>
      <c r="J296" s="6">
        <f>(H296-G296)/G296</f>
        <v>-3.6531627004305449E-2</v>
      </c>
      <c r="K296" s="3">
        <f>(I296-G296)/G296</f>
        <v>-1.6873361466219303E-2</v>
      </c>
      <c r="L296" s="6">
        <f>ABS(J296)</f>
        <v>3.6531627004305449E-2</v>
      </c>
      <c r="M296" s="3">
        <f>ABS(K296)</f>
        <v>1.6873361466219303E-2</v>
      </c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</row>
    <row r="297" spans="1:34" x14ac:dyDescent="0.35">
      <c r="A297">
        <v>296</v>
      </c>
      <c r="B297">
        <v>22</v>
      </c>
      <c r="C297">
        <v>78</v>
      </c>
      <c r="D297">
        <v>170</v>
      </c>
      <c r="E297" t="s">
        <v>9</v>
      </c>
      <c r="F297">
        <v>396</v>
      </c>
      <c r="G297">
        <f>857-461</f>
        <v>396</v>
      </c>
      <c r="H297">
        <v>383.89284250398401</v>
      </c>
      <c r="I297">
        <v>383.77630303494601</v>
      </c>
      <c r="J297" s="6">
        <f>(H297-G297)/G297</f>
        <v>-3.0573630040444409E-2</v>
      </c>
      <c r="K297" s="3">
        <f>(I297-G297)/G297</f>
        <v>-3.0867921628924214E-2</v>
      </c>
      <c r="L297" s="6">
        <f>ABS(J297)</f>
        <v>3.0573630040444409E-2</v>
      </c>
      <c r="M297" s="3">
        <f>ABS(K297)</f>
        <v>3.0867921628924214E-2</v>
      </c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</row>
    <row r="298" spans="1:34" x14ac:dyDescent="0.35">
      <c r="A298">
        <v>297</v>
      </c>
      <c r="B298">
        <v>22</v>
      </c>
      <c r="C298">
        <v>78</v>
      </c>
      <c r="D298">
        <v>170</v>
      </c>
      <c r="E298" t="s">
        <v>9</v>
      </c>
      <c r="F298">
        <v>413</v>
      </c>
      <c r="G298">
        <f>1177-808</f>
        <v>369</v>
      </c>
      <c r="H298">
        <v>391.12243524663501</v>
      </c>
      <c r="I298">
        <v>391.473227306642</v>
      </c>
      <c r="J298" s="6">
        <f>(H298-G298)/G298</f>
        <v>5.995239904237129E-2</v>
      </c>
      <c r="K298" s="3">
        <f>(I298-G298)/G298</f>
        <v>6.0903055031550142E-2</v>
      </c>
      <c r="L298" s="6">
        <f>ABS(J298)</f>
        <v>5.995239904237129E-2</v>
      </c>
      <c r="M298" s="3">
        <f>ABS(K298)</f>
        <v>6.0903055031550142E-2</v>
      </c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</row>
    <row r="299" spans="1:34" x14ac:dyDescent="0.35">
      <c r="A299">
        <v>298</v>
      </c>
      <c r="B299">
        <v>22</v>
      </c>
      <c r="C299">
        <v>78</v>
      </c>
      <c r="D299">
        <v>170</v>
      </c>
      <c r="E299" t="s">
        <v>9</v>
      </c>
      <c r="F299">
        <v>395</v>
      </c>
      <c r="G299">
        <f>311-0</f>
        <v>311</v>
      </c>
      <c r="H299">
        <v>383.46757234265198</v>
      </c>
      <c r="I299">
        <v>383.34555823102602</v>
      </c>
      <c r="J299" s="6">
        <f>(H299-G299)/G299</f>
        <v>0.23301470206640507</v>
      </c>
      <c r="K299" s="3">
        <f>(I299-G299)/G299</f>
        <v>0.23262237373320263</v>
      </c>
      <c r="L299" s="6">
        <f>ABS(J299)</f>
        <v>0.23301470206640507</v>
      </c>
      <c r="M299" s="3">
        <f>ABS(K299)</f>
        <v>0.23262237373320263</v>
      </c>
      <c r="O299" s="20"/>
      <c r="P299" s="20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</row>
    <row r="300" spans="1:34" x14ac:dyDescent="0.35">
      <c r="A300">
        <v>299</v>
      </c>
      <c r="B300">
        <v>22</v>
      </c>
      <c r="C300">
        <v>78</v>
      </c>
      <c r="D300">
        <v>170</v>
      </c>
      <c r="E300" t="s">
        <v>9</v>
      </c>
      <c r="F300">
        <v>413</v>
      </c>
      <c r="G300">
        <f>337-0</f>
        <v>337</v>
      </c>
      <c r="H300">
        <v>391.12243524663501</v>
      </c>
      <c r="I300">
        <v>391.473227306642</v>
      </c>
      <c r="J300" s="6">
        <f>(H300-G300)/G300</f>
        <v>0.16060069806123148</v>
      </c>
      <c r="K300" s="3">
        <f>(I300-G300)/G300</f>
        <v>0.16164162405531751</v>
      </c>
      <c r="L300" s="6">
        <f>ABS(J300)</f>
        <v>0.16060069806123148</v>
      </c>
      <c r="M300" s="3">
        <f>ABS(K300)</f>
        <v>0.16164162405531751</v>
      </c>
      <c r="O300" s="20"/>
      <c r="P300" s="20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</row>
    <row r="301" spans="1:34" x14ac:dyDescent="0.35">
      <c r="A301">
        <v>300</v>
      </c>
      <c r="B301">
        <v>22</v>
      </c>
      <c r="C301">
        <v>78</v>
      </c>
      <c r="D301">
        <v>170</v>
      </c>
      <c r="E301" t="s">
        <v>9</v>
      </c>
      <c r="F301">
        <v>380</v>
      </c>
      <c r="G301">
        <f>602-225</f>
        <v>377</v>
      </c>
      <c r="H301">
        <v>377.08851992266602</v>
      </c>
      <c r="I301">
        <v>377.70729131353198</v>
      </c>
      <c r="J301" s="6">
        <f>(H301-G301)/G301</f>
        <v>2.348008558780461E-4</v>
      </c>
      <c r="K301" s="3">
        <f>(I301-G301)/G301</f>
        <v>1.8761042799256824E-3</v>
      </c>
      <c r="L301" s="6">
        <f>ABS(J301)</f>
        <v>2.348008558780461E-4</v>
      </c>
      <c r="M301" s="3">
        <f>ABS(K301)</f>
        <v>1.8761042799256824E-3</v>
      </c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</row>
    <row r="302" spans="1:34" x14ac:dyDescent="0.35">
      <c r="A302">
        <v>301</v>
      </c>
      <c r="B302">
        <v>22</v>
      </c>
      <c r="C302">
        <v>78</v>
      </c>
      <c r="D302">
        <v>170</v>
      </c>
      <c r="E302" t="s">
        <v>9</v>
      </c>
      <c r="F302">
        <v>398</v>
      </c>
      <c r="G302">
        <f>367-0</f>
        <v>367</v>
      </c>
      <c r="H302">
        <v>384.743382826649</v>
      </c>
      <c r="I302">
        <v>384.63779264278401</v>
      </c>
      <c r="J302" s="6">
        <f>(H302-G302)/G302</f>
        <v>4.8347092170705715E-2</v>
      </c>
      <c r="K302" s="3">
        <f>(I302-G302)/G302</f>
        <v>4.8059380498049066E-2</v>
      </c>
      <c r="L302" s="6">
        <f>ABS(J302)</f>
        <v>4.8347092170705715E-2</v>
      </c>
      <c r="M302" s="3">
        <f>ABS(K302)</f>
        <v>4.8059380498049066E-2</v>
      </c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</row>
    <row r="303" spans="1:34" x14ac:dyDescent="0.35">
      <c r="A303">
        <v>302</v>
      </c>
      <c r="B303">
        <v>22</v>
      </c>
      <c r="C303">
        <v>78</v>
      </c>
      <c r="D303">
        <v>170</v>
      </c>
      <c r="E303" t="s">
        <v>9</v>
      </c>
      <c r="F303">
        <v>428</v>
      </c>
      <c r="G303">
        <f>697-285</f>
        <v>412</v>
      </c>
      <c r="H303">
        <v>397.50148766662102</v>
      </c>
      <c r="I303">
        <v>401.65903606348502</v>
      </c>
      <c r="J303" s="6">
        <f>(H303-G303)/G303</f>
        <v>-3.5190563915968406E-2</v>
      </c>
      <c r="K303" s="3">
        <f>(I303-G303)/G303</f>
        <v>-2.5099427030376167E-2</v>
      </c>
      <c r="L303" s="6">
        <f>ABS(J303)</f>
        <v>3.5190563915968406E-2</v>
      </c>
      <c r="M303" s="3">
        <f>ABS(K303)</f>
        <v>2.5099427030376167E-2</v>
      </c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</row>
    <row r="304" spans="1:34" x14ac:dyDescent="0.35">
      <c r="A304">
        <v>303</v>
      </c>
      <c r="B304">
        <v>22</v>
      </c>
      <c r="C304">
        <v>78</v>
      </c>
      <c r="D304">
        <v>170</v>
      </c>
      <c r="E304" t="s">
        <v>9</v>
      </c>
      <c r="F304">
        <v>380</v>
      </c>
      <c r="G304">
        <f>755-361</f>
        <v>394</v>
      </c>
      <c r="H304">
        <v>377.08851992266602</v>
      </c>
      <c r="I304">
        <v>377.70729131353198</v>
      </c>
      <c r="J304" s="6">
        <f>(H304-G304)/G304</f>
        <v>-4.2922538267345121E-2</v>
      </c>
      <c r="K304" s="3">
        <f>(I304-G304)/G304</f>
        <v>-4.1352052503725936E-2</v>
      </c>
      <c r="L304" s="6">
        <f>ABS(J304)</f>
        <v>4.2922538267345121E-2</v>
      </c>
      <c r="M304" s="3">
        <f>ABS(K304)</f>
        <v>4.1352052503725936E-2</v>
      </c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</row>
    <row r="305" spans="1:34" x14ac:dyDescent="0.35">
      <c r="A305">
        <v>304</v>
      </c>
      <c r="B305">
        <v>22</v>
      </c>
      <c r="C305">
        <v>78</v>
      </c>
      <c r="D305">
        <v>170</v>
      </c>
      <c r="E305" t="s">
        <v>9</v>
      </c>
      <c r="F305">
        <v>363</v>
      </c>
      <c r="G305">
        <f>916-543</f>
        <v>373</v>
      </c>
      <c r="H305">
        <v>369.858927180016</v>
      </c>
      <c r="I305">
        <v>376.27787549762701</v>
      </c>
      <c r="J305" s="6">
        <f>(H305-G305)/G305</f>
        <v>-8.4211067559892862E-3</v>
      </c>
      <c r="K305" s="3">
        <f>(I305-G305)/G305</f>
        <v>8.7878699668284387E-3</v>
      </c>
      <c r="L305" s="6">
        <f>ABS(J305)</f>
        <v>8.4211067559892862E-3</v>
      </c>
      <c r="M305" s="3">
        <f>ABS(K305)</f>
        <v>8.7878699668284387E-3</v>
      </c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</row>
    <row r="306" spans="1:34" x14ac:dyDescent="0.35">
      <c r="A306">
        <v>305</v>
      </c>
      <c r="B306">
        <v>22</v>
      </c>
      <c r="C306">
        <v>78</v>
      </c>
      <c r="D306">
        <v>170</v>
      </c>
      <c r="E306" t="s">
        <v>9</v>
      </c>
      <c r="F306">
        <v>412</v>
      </c>
      <c r="G306">
        <f>800-448</f>
        <v>352</v>
      </c>
      <c r="H306">
        <v>390.69716508530303</v>
      </c>
      <c r="I306">
        <v>390.99151157000898</v>
      </c>
      <c r="J306" s="6">
        <f>(H306-G306)/G306</f>
        <v>0.10993512808324724</v>
      </c>
      <c r="K306" s="3">
        <f>(I306-G306)/G306</f>
        <v>0.11077133968752552</v>
      </c>
      <c r="L306" s="6">
        <f>ABS(J306)</f>
        <v>0.10993512808324724</v>
      </c>
      <c r="M306" s="3">
        <f>ABS(K306)</f>
        <v>0.11077133968752552</v>
      </c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</row>
    <row r="307" spans="1:34" x14ac:dyDescent="0.35">
      <c r="A307">
        <v>306</v>
      </c>
      <c r="B307">
        <v>22</v>
      </c>
      <c r="C307">
        <v>78</v>
      </c>
      <c r="D307">
        <v>170</v>
      </c>
      <c r="E307" t="s">
        <v>9</v>
      </c>
      <c r="F307">
        <v>380</v>
      </c>
      <c r="G307">
        <f>818-443</f>
        <v>375</v>
      </c>
      <c r="H307">
        <v>377.08851992266602</v>
      </c>
      <c r="I307">
        <v>377.70729131353198</v>
      </c>
      <c r="J307" s="6">
        <f>(H307-G307)/G307</f>
        <v>5.569386460442729E-3</v>
      </c>
      <c r="K307" s="3">
        <f>(I307-G307)/G307</f>
        <v>7.2194435027519528E-3</v>
      </c>
      <c r="L307" s="6">
        <f>ABS(J307)</f>
        <v>5.569386460442729E-3</v>
      </c>
      <c r="M307" s="3">
        <f>ABS(K307)</f>
        <v>7.2194435027519528E-3</v>
      </c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</row>
    <row r="308" spans="1:34" x14ac:dyDescent="0.35">
      <c r="A308">
        <v>307</v>
      </c>
      <c r="B308">
        <v>22</v>
      </c>
      <c r="C308">
        <v>78</v>
      </c>
      <c r="D308">
        <v>170</v>
      </c>
      <c r="E308" t="s">
        <v>9</v>
      </c>
      <c r="F308">
        <v>365</v>
      </c>
      <c r="G308">
        <f>946-531</f>
        <v>415</v>
      </c>
      <c r="H308">
        <v>370.70946750268001</v>
      </c>
      <c r="I308">
        <v>376.06711945650602</v>
      </c>
      <c r="J308" s="6">
        <f>(H308-G308)/G308</f>
        <v>-0.10672417469233732</v>
      </c>
      <c r="K308" s="3">
        <f>(I308-G308)/G308</f>
        <v>-9.3814169984322848E-2</v>
      </c>
      <c r="L308" s="6">
        <f>ABS(J308)</f>
        <v>0.10672417469233732</v>
      </c>
      <c r="M308" s="3">
        <f>ABS(K308)</f>
        <v>9.3814169984322848E-2</v>
      </c>
      <c r="O308" s="20"/>
      <c r="P308" s="20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</row>
    <row r="309" spans="1:34" x14ac:dyDescent="0.35">
      <c r="A309">
        <v>308</v>
      </c>
      <c r="B309">
        <v>22</v>
      </c>
      <c r="C309">
        <v>78</v>
      </c>
      <c r="D309">
        <v>170</v>
      </c>
      <c r="E309" t="s">
        <v>9</v>
      </c>
      <c r="F309">
        <v>365</v>
      </c>
      <c r="G309">
        <f>532-176</f>
        <v>356</v>
      </c>
      <c r="H309">
        <v>370.70946750268001</v>
      </c>
      <c r="I309">
        <v>376.06711945650602</v>
      </c>
      <c r="J309" s="6">
        <f>(H309-G309)/G309</f>
        <v>4.1318728940112397E-2</v>
      </c>
      <c r="K309" s="3">
        <f>(I309-G309)/G309</f>
        <v>5.636831308007309E-2</v>
      </c>
      <c r="L309" s="6">
        <f>ABS(J309)</f>
        <v>4.1318728940112397E-2</v>
      </c>
      <c r="M309" s="3">
        <f>ABS(K309)</f>
        <v>5.636831308007309E-2</v>
      </c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</row>
    <row r="310" spans="1:34" x14ac:dyDescent="0.35">
      <c r="A310">
        <v>309</v>
      </c>
      <c r="B310">
        <v>22</v>
      </c>
      <c r="C310">
        <v>78</v>
      </c>
      <c r="D310">
        <v>170</v>
      </c>
      <c r="E310" t="s">
        <v>9</v>
      </c>
      <c r="F310">
        <v>395</v>
      </c>
      <c r="G310">
        <f>648-263</f>
        <v>385</v>
      </c>
      <c r="H310">
        <v>383.46757234265198</v>
      </c>
      <c r="I310">
        <v>383.34555823102602</v>
      </c>
      <c r="J310" s="6">
        <f>(H310-G310)/G310</f>
        <v>-3.9803315775273334E-3</v>
      </c>
      <c r="K310" s="3">
        <f>(I310-G310)/G310</f>
        <v>-4.2972513479843681E-3</v>
      </c>
      <c r="L310" s="6">
        <f>ABS(J310)</f>
        <v>3.9803315775273334E-3</v>
      </c>
      <c r="M310" s="3">
        <f>ABS(K310)</f>
        <v>4.2972513479843681E-3</v>
      </c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</row>
    <row r="311" spans="1:34" x14ac:dyDescent="0.35">
      <c r="A311">
        <v>310</v>
      </c>
      <c r="B311">
        <v>22</v>
      </c>
      <c r="C311">
        <v>78</v>
      </c>
      <c r="D311">
        <v>170</v>
      </c>
      <c r="E311" t="s">
        <v>9</v>
      </c>
      <c r="F311">
        <v>380</v>
      </c>
      <c r="G311">
        <f>952-572</f>
        <v>380</v>
      </c>
      <c r="H311">
        <v>377.08851992266602</v>
      </c>
      <c r="I311">
        <v>377.70729131353198</v>
      </c>
      <c r="J311" s="6">
        <f>(H311-G311)/G311</f>
        <v>-7.6617896771946749E-3</v>
      </c>
      <c r="K311" s="3">
        <f>(I311-G311)/G311</f>
        <v>-6.0334439117579412E-3</v>
      </c>
      <c r="L311" s="6">
        <f>ABS(J311)</f>
        <v>7.6617896771946749E-3</v>
      </c>
      <c r="M311" s="3">
        <f>ABS(K311)</f>
        <v>6.0334439117579412E-3</v>
      </c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</row>
    <row r="312" spans="1:34" x14ac:dyDescent="0.35">
      <c r="A312">
        <v>311</v>
      </c>
      <c r="B312">
        <v>22</v>
      </c>
      <c r="C312">
        <v>78</v>
      </c>
      <c r="D312">
        <v>170</v>
      </c>
      <c r="E312" t="s">
        <v>9</v>
      </c>
      <c r="F312">
        <v>378</v>
      </c>
      <c r="G312">
        <f>1032-695</f>
        <v>337</v>
      </c>
      <c r="H312">
        <v>376.23797960000098</v>
      </c>
      <c r="I312">
        <v>377.00153686334397</v>
      </c>
      <c r="J312" s="6">
        <f>(H312-G312)/G312</f>
        <v>0.11643317388724328</v>
      </c>
      <c r="K312" s="3">
        <f>(I312-G312)/G312</f>
        <v>0.11869892244315719</v>
      </c>
      <c r="L312" s="6">
        <f>ABS(J312)</f>
        <v>0.11643317388724328</v>
      </c>
      <c r="M312" s="3">
        <f>ABS(K312)</f>
        <v>0.11869892244315719</v>
      </c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</row>
    <row r="313" spans="1:34" x14ac:dyDescent="0.35">
      <c r="A313">
        <v>312</v>
      </c>
      <c r="B313">
        <v>22</v>
      </c>
      <c r="C313">
        <v>78</v>
      </c>
      <c r="D313">
        <v>170</v>
      </c>
      <c r="E313" t="s">
        <v>9</v>
      </c>
      <c r="F313">
        <v>378</v>
      </c>
      <c r="G313">
        <f>250-0</f>
        <v>250</v>
      </c>
      <c r="H313">
        <v>376.23797960000098</v>
      </c>
      <c r="I313">
        <v>377.00153686334397</v>
      </c>
      <c r="J313" s="6">
        <f>(H313-G313)/G313</f>
        <v>0.50495191840000397</v>
      </c>
      <c r="K313" s="3">
        <f>(I313-G313)/G313</f>
        <v>0.50800614745337591</v>
      </c>
      <c r="L313" s="6">
        <f>ABS(J313)</f>
        <v>0.50495191840000397</v>
      </c>
      <c r="M313" s="3">
        <f>ABS(K313)</f>
        <v>0.50800614745337591</v>
      </c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</row>
    <row r="314" spans="1:34" x14ac:dyDescent="0.35">
      <c r="A314">
        <v>313</v>
      </c>
      <c r="B314">
        <v>22</v>
      </c>
      <c r="C314">
        <v>78</v>
      </c>
      <c r="D314">
        <v>170</v>
      </c>
      <c r="E314" t="s">
        <v>9</v>
      </c>
      <c r="F314">
        <v>365</v>
      </c>
      <c r="G314">
        <f>380-0</f>
        <v>380</v>
      </c>
      <c r="H314">
        <v>370.70946750268001</v>
      </c>
      <c r="I314">
        <v>376.06711945650602</v>
      </c>
      <c r="J314" s="6">
        <f>(H314-G314)/G314</f>
        <v>-2.4448769729789439E-2</v>
      </c>
      <c r="K314" s="3">
        <f>(I314-G314)/G314</f>
        <v>-1.0349685640773631E-2</v>
      </c>
      <c r="L314" s="6">
        <f>ABS(J314)</f>
        <v>2.4448769729789439E-2</v>
      </c>
      <c r="M314" s="3">
        <f>ABS(K314)</f>
        <v>1.0349685640773631E-2</v>
      </c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</row>
    <row r="315" spans="1:34" x14ac:dyDescent="0.35">
      <c r="A315">
        <v>314</v>
      </c>
      <c r="B315">
        <v>22</v>
      </c>
      <c r="C315">
        <v>78</v>
      </c>
      <c r="D315">
        <v>170</v>
      </c>
      <c r="E315" t="s">
        <v>9</v>
      </c>
      <c r="F315">
        <v>363</v>
      </c>
      <c r="G315">
        <f>1080-715</f>
        <v>365</v>
      </c>
      <c r="H315">
        <v>369.858927180016</v>
      </c>
      <c r="I315">
        <v>376.27787549762701</v>
      </c>
      <c r="J315" s="6">
        <f>(H315-G315)/G315</f>
        <v>1.3312129260317798E-2</v>
      </c>
      <c r="K315" s="3">
        <f>(I315-G315)/G315</f>
        <v>3.0898289034594541E-2</v>
      </c>
      <c r="L315" s="6">
        <f>ABS(J315)</f>
        <v>1.3312129260317798E-2</v>
      </c>
      <c r="M315" s="3">
        <f>ABS(K315)</f>
        <v>3.0898289034594541E-2</v>
      </c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</row>
    <row r="316" spans="1:34" x14ac:dyDescent="0.35">
      <c r="A316">
        <v>315</v>
      </c>
      <c r="B316">
        <v>22</v>
      </c>
      <c r="C316">
        <v>78</v>
      </c>
      <c r="D316">
        <v>170</v>
      </c>
      <c r="E316" t="s">
        <v>9</v>
      </c>
      <c r="F316">
        <v>396</v>
      </c>
      <c r="G316">
        <f>1064-652</f>
        <v>412</v>
      </c>
      <c r="H316">
        <v>383.89284250398401</v>
      </c>
      <c r="I316">
        <v>383.77630303494601</v>
      </c>
      <c r="J316" s="6">
        <f>(H316-G316)/G316</f>
        <v>-6.8221256058291227E-2</v>
      </c>
      <c r="K316" s="3">
        <f>(I316-G316)/G316</f>
        <v>-6.8504118847218423E-2</v>
      </c>
      <c r="L316" s="6">
        <f>ABS(J316)</f>
        <v>6.8221256058291227E-2</v>
      </c>
      <c r="M316" s="3">
        <f>ABS(K316)</f>
        <v>6.8504118847218423E-2</v>
      </c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</row>
    <row r="317" spans="1:34" x14ac:dyDescent="0.35">
      <c r="A317">
        <v>316</v>
      </c>
      <c r="B317">
        <v>22</v>
      </c>
      <c r="C317">
        <v>78</v>
      </c>
      <c r="D317">
        <v>170</v>
      </c>
      <c r="E317" t="s">
        <v>9</v>
      </c>
      <c r="F317">
        <v>412</v>
      </c>
      <c r="G317">
        <f>1225-821</f>
        <v>404</v>
      </c>
      <c r="H317">
        <v>390.69716508530303</v>
      </c>
      <c r="I317">
        <v>390.99151157000898</v>
      </c>
      <c r="J317" s="6">
        <f>(H317-G317)/G317</f>
        <v>-3.2927809194794488E-2</v>
      </c>
      <c r="K317" s="3">
        <f>(I317-G317)/G317</f>
        <v>-3.2199228787106481E-2</v>
      </c>
      <c r="L317" s="6">
        <f>ABS(J317)</f>
        <v>3.2927809194794488E-2</v>
      </c>
      <c r="M317" s="3">
        <f>ABS(K317)</f>
        <v>3.2199228787106481E-2</v>
      </c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</row>
    <row r="318" spans="1:34" x14ac:dyDescent="0.35">
      <c r="A318">
        <v>317</v>
      </c>
      <c r="B318">
        <v>22</v>
      </c>
      <c r="C318">
        <v>78</v>
      </c>
      <c r="D318">
        <v>170</v>
      </c>
      <c r="E318" t="s">
        <v>9</v>
      </c>
      <c r="F318">
        <v>364</v>
      </c>
      <c r="G318">
        <f>414-7</f>
        <v>407</v>
      </c>
      <c r="H318">
        <v>370.28419734134798</v>
      </c>
      <c r="I318">
        <v>376.148061967221</v>
      </c>
      <c r="J318" s="6">
        <f>(H318-G318)/G318</f>
        <v>-9.021081734312536E-2</v>
      </c>
      <c r="K318" s="3">
        <f>(I318-G318)/G318</f>
        <v>-7.5803287549825557E-2</v>
      </c>
      <c r="L318" s="6">
        <f>ABS(J318)</f>
        <v>9.021081734312536E-2</v>
      </c>
      <c r="M318" s="3">
        <f>ABS(K318)</f>
        <v>7.5803287549825557E-2</v>
      </c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</row>
    <row r="319" spans="1:34" x14ac:dyDescent="0.35">
      <c r="A319">
        <v>318</v>
      </c>
      <c r="B319">
        <v>22</v>
      </c>
      <c r="C319">
        <v>78</v>
      </c>
      <c r="D319">
        <v>170</v>
      </c>
      <c r="E319" t="s">
        <v>9</v>
      </c>
      <c r="F319">
        <v>396</v>
      </c>
      <c r="G319">
        <f>1192-812</f>
        <v>380</v>
      </c>
      <c r="H319">
        <v>383.89284250398401</v>
      </c>
      <c r="I319">
        <v>383.77630303494601</v>
      </c>
      <c r="J319" s="6">
        <f>(H319-G319)/G319</f>
        <v>1.02443223789053E-2</v>
      </c>
      <c r="K319" s="3">
        <f>(I319-G319)/G319</f>
        <v>9.9376395656473968E-3</v>
      </c>
      <c r="L319" s="6">
        <f>ABS(J319)</f>
        <v>1.02443223789053E-2</v>
      </c>
      <c r="M319" s="3">
        <f>ABS(K319)</f>
        <v>9.9376395656473968E-3</v>
      </c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</row>
    <row r="320" spans="1:34" x14ac:dyDescent="0.35">
      <c r="A320">
        <v>319</v>
      </c>
      <c r="B320">
        <v>22</v>
      </c>
      <c r="C320">
        <v>78</v>
      </c>
      <c r="D320">
        <v>170</v>
      </c>
      <c r="E320" t="s">
        <v>9</v>
      </c>
      <c r="F320">
        <v>412</v>
      </c>
      <c r="G320">
        <f>414-0</f>
        <v>414</v>
      </c>
      <c r="H320">
        <v>390.69716508530303</v>
      </c>
      <c r="I320">
        <v>390.99151157000898</v>
      </c>
      <c r="J320" s="6">
        <f>(H320-G320)/G320</f>
        <v>-5.6287040856755975E-2</v>
      </c>
      <c r="K320" s="3">
        <f>(I320-G320)/G320</f>
        <v>-5.557605900964014E-2</v>
      </c>
      <c r="L320" s="6">
        <f>ABS(J320)</f>
        <v>5.6287040856755975E-2</v>
      </c>
      <c r="M320" s="3">
        <f>ABS(K320)</f>
        <v>5.557605900964014E-2</v>
      </c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</row>
    <row r="321" spans="1:34" x14ac:dyDescent="0.35">
      <c r="A321">
        <v>320</v>
      </c>
      <c r="B321">
        <v>22</v>
      </c>
      <c r="C321">
        <v>78</v>
      </c>
      <c r="D321">
        <v>170</v>
      </c>
      <c r="E321" t="s">
        <v>9</v>
      </c>
      <c r="F321">
        <v>380</v>
      </c>
      <c r="G321">
        <f>442-55</f>
        <v>387</v>
      </c>
      <c r="H321">
        <v>377.08851992266602</v>
      </c>
      <c r="I321">
        <v>377.70729131353198</v>
      </c>
      <c r="J321" s="6">
        <f>(H321-G321)/G321</f>
        <v>-2.5611059631353943E-2</v>
      </c>
      <c r="K321" s="3">
        <f>(I321-G321)/G321</f>
        <v>-2.4012167148496171E-2</v>
      </c>
      <c r="L321" s="6">
        <f>ABS(J321)</f>
        <v>2.5611059631353943E-2</v>
      </c>
      <c r="M321" s="3">
        <f>ABS(K321)</f>
        <v>2.4012167148496171E-2</v>
      </c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</row>
    <row r="322" spans="1:34" x14ac:dyDescent="0.35">
      <c r="A322">
        <v>321</v>
      </c>
      <c r="B322">
        <v>22</v>
      </c>
      <c r="C322">
        <v>78</v>
      </c>
      <c r="D322">
        <v>170</v>
      </c>
      <c r="E322" t="s">
        <v>9</v>
      </c>
      <c r="F322">
        <v>412</v>
      </c>
      <c r="G322">
        <f>1201-795</f>
        <v>406</v>
      </c>
      <c r="H322">
        <v>390.69716508530303</v>
      </c>
      <c r="I322">
        <v>390.99151157000898</v>
      </c>
      <c r="J322" s="6">
        <f>(H322-G322)/G322</f>
        <v>-3.7691711612554121E-2</v>
      </c>
      <c r="K322" s="3">
        <f>(I322-G322)/G322</f>
        <v>-3.6966720270913841E-2</v>
      </c>
      <c r="L322" s="6">
        <f>ABS(J322)</f>
        <v>3.7691711612554121E-2</v>
      </c>
      <c r="M322" s="3">
        <f>ABS(K322)</f>
        <v>3.6966720270913841E-2</v>
      </c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</row>
    <row r="323" spans="1:34" x14ac:dyDescent="0.35">
      <c r="A323">
        <v>322</v>
      </c>
      <c r="B323">
        <v>22</v>
      </c>
      <c r="C323">
        <v>78</v>
      </c>
      <c r="D323">
        <v>170</v>
      </c>
      <c r="E323" t="s">
        <v>9</v>
      </c>
      <c r="F323">
        <v>426</v>
      </c>
      <c r="G323">
        <f>1251-858</f>
        <v>393</v>
      </c>
      <c r="H323">
        <v>396.65094734395598</v>
      </c>
      <c r="I323">
        <v>400.29656401276299</v>
      </c>
      <c r="J323" s="6">
        <f>(H323-G323)/G323</f>
        <v>9.289942351033021E-3</v>
      </c>
      <c r="K323" s="3">
        <f>(I323-G323)/G323</f>
        <v>1.8566320643162812E-2</v>
      </c>
      <c r="L323" s="6">
        <f>ABS(J323)</f>
        <v>9.289942351033021E-3</v>
      </c>
      <c r="M323" s="3">
        <f>ABS(K323)</f>
        <v>1.8566320643162812E-2</v>
      </c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</row>
    <row r="324" spans="1:34" x14ac:dyDescent="0.35">
      <c r="A324">
        <v>323</v>
      </c>
      <c r="B324">
        <v>22</v>
      </c>
      <c r="C324">
        <v>78</v>
      </c>
      <c r="D324">
        <v>170</v>
      </c>
      <c r="E324" t="s">
        <v>9</v>
      </c>
      <c r="F324">
        <v>411</v>
      </c>
      <c r="G324">
        <f>1021-612</f>
        <v>409</v>
      </c>
      <c r="H324">
        <v>390.27189492397002</v>
      </c>
      <c r="I324">
        <v>390.50979583337698</v>
      </c>
      <c r="J324" s="6">
        <f>(H324-G324)/G324</f>
        <v>-4.5789987960953488E-2</v>
      </c>
      <c r="K324" s="3">
        <f>(I324-G324)/G324</f>
        <v>-4.5208323145777544E-2</v>
      </c>
      <c r="L324" s="6">
        <f>ABS(J324)</f>
        <v>4.5789987960953488E-2</v>
      </c>
      <c r="M324" s="3">
        <f>ABS(K324)</f>
        <v>4.5208323145777544E-2</v>
      </c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</row>
    <row r="325" spans="1:34" x14ac:dyDescent="0.35">
      <c r="A325">
        <v>324</v>
      </c>
      <c r="B325">
        <v>22</v>
      </c>
      <c r="C325">
        <v>78</v>
      </c>
      <c r="D325">
        <v>170</v>
      </c>
      <c r="E325" t="s">
        <v>9</v>
      </c>
      <c r="F325">
        <v>394</v>
      </c>
      <c r="G325">
        <f>1258-861</f>
        <v>397</v>
      </c>
      <c r="H325">
        <v>383.04230218132</v>
      </c>
      <c r="I325">
        <v>382.91481342710699</v>
      </c>
      <c r="J325" s="6">
        <f>(H325-G325)/G325</f>
        <v>-3.5157929014307317E-2</v>
      </c>
      <c r="K325" s="3">
        <f>(I325-G325)/G325</f>
        <v>-3.5479059377564251E-2</v>
      </c>
      <c r="L325" s="6">
        <f>ABS(J325)</f>
        <v>3.5157929014307317E-2</v>
      </c>
      <c r="M325" s="3">
        <f>ABS(K325)</f>
        <v>3.5479059377564251E-2</v>
      </c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</row>
    <row r="326" spans="1:34" x14ac:dyDescent="0.35">
      <c r="A326">
        <v>325</v>
      </c>
      <c r="B326">
        <v>22</v>
      </c>
      <c r="C326">
        <v>78</v>
      </c>
      <c r="D326">
        <v>170</v>
      </c>
      <c r="E326" t="s">
        <v>9</v>
      </c>
      <c r="F326">
        <v>394</v>
      </c>
      <c r="G326">
        <f>410-0</f>
        <v>410</v>
      </c>
      <c r="H326">
        <v>383.04230218132</v>
      </c>
      <c r="I326">
        <v>382.91481342710699</v>
      </c>
      <c r="J326" s="6">
        <f>(H326-G326)/G326</f>
        <v>-6.5750482484585371E-2</v>
      </c>
      <c r="K326" s="3">
        <f>(I326-G326)/G326</f>
        <v>-6.6061430665592696E-2</v>
      </c>
      <c r="L326" s="6">
        <f>ABS(J326)</f>
        <v>6.5750482484585371E-2</v>
      </c>
      <c r="M326" s="3">
        <f>ABS(K326)</f>
        <v>6.6061430665592696E-2</v>
      </c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</row>
    <row r="327" spans="1:34" x14ac:dyDescent="0.35">
      <c r="A327">
        <v>326</v>
      </c>
      <c r="B327">
        <v>22</v>
      </c>
      <c r="C327">
        <v>78</v>
      </c>
      <c r="D327">
        <v>170</v>
      </c>
      <c r="E327" t="s">
        <v>9</v>
      </c>
      <c r="F327">
        <v>428</v>
      </c>
      <c r="G327">
        <f>1178-811</f>
        <v>367</v>
      </c>
      <c r="H327">
        <v>397.50148766662102</v>
      </c>
      <c r="I327">
        <v>401.65903606348502</v>
      </c>
      <c r="J327" s="6">
        <f>(H327-G327)/G327</f>
        <v>8.3110320617495959E-2</v>
      </c>
      <c r="K327" s="3">
        <f>(I327-G327)/G327</f>
        <v>9.4438790363719397E-2</v>
      </c>
      <c r="L327" s="6">
        <f>ABS(J327)</f>
        <v>8.3110320617495959E-2</v>
      </c>
      <c r="M327" s="3">
        <f>ABS(K327)</f>
        <v>9.4438790363719397E-2</v>
      </c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</row>
    <row r="328" spans="1:34" x14ac:dyDescent="0.35">
      <c r="A328">
        <v>327</v>
      </c>
      <c r="B328">
        <v>22</v>
      </c>
      <c r="C328">
        <v>78</v>
      </c>
      <c r="D328">
        <v>170</v>
      </c>
      <c r="E328" t="s">
        <v>9</v>
      </c>
      <c r="F328">
        <v>397</v>
      </c>
      <c r="G328">
        <f>682-268</f>
        <v>414</v>
      </c>
      <c r="H328">
        <v>384.31811266531702</v>
      </c>
      <c r="I328">
        <v>384.20704783886498</v>
      </c>
      <c r="J328" s="6">
        <f>(H328-G328)/G328</f>
        <v>-7.1695380035466147E-2</v>
      </c>
      <c r="K328" s="3">
        <f>(I328-G328)/G328</f>
        <v>-7.1963652563128061E-2</v>
      </c>
      <c r="L328" s="6">
        <f>ABS(J328)</f>
        <v>7.1695380035466147E-2</v>
      </c>
      <c r="M328" s="3">
        <f>ABS(K328)</f>
        <v>7.1963652563128061E-2</v>
      </c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</row>
    <row r="329" spans="1:34" x14ac:dyDescent="0.35">
      <c r="A329">
        <v>328</v>
      </c>
      <c r="B329">
        <v>22</v>
      </c>
      <c r="C329">
        <v>78</v>
      </c>
      <c r="D329">
        <v>170</v>
      </c>
      <c r="E329" t="s">
        <v>9</v>
      </c>
      <c r="F329">
        <v>397</v>
      </c>
      <c r="G329">
        <f>884-472</f>
        <v>412</v>
      </c>
      <c r="H329">
        <v>384.31811266531702</v>
      </c>
      <c r="I329">
        <v>384.20704783886498</v>
      </c>
      <c r="J329" s="6">
        <f>(H329-G329)/G329</f>
        <v>-6.7189046928842186E-2</v>
      </c>
      <c r="K329" s="3">
        <f>(I329-G329)/G329</f>
        <v>-6.7458621750327713E-2</v>
      </c>
      <c r="L329" s="6">
        <f>ABS(J329)</f>
        <v>6.7189046928842186E-2</v>
      </c>
      <c r="M329" s="3">
        <f>ABS(K329)</f>
        <v>6.7458621750327713E-2</v>
      </c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</row>
    <row r="330" spans="1:34" x14ac:dyDescent="0.35">
      <c r="A330">
        <v>329</v>
      </c>
      <c r="B330">
        <v>22</v>
      </c>
      <c r="C330">
        <v>78</v>
      </c>
      <c r="D330">
        <v>170</v>
      </c>
      <c r="E330" t="s">
        <v>9</v>
      </c>
      <c r="F330">
        <v>397</v>
      </c>
      <c r="G330">
        <f>1059-633</f>
        <v>426</v>
      </c>
      <c r="H330">
        <v>384.31811266531702</v>
      </c>
      <c r="I330">
        <v>384.20704783886498</v>
      </c>
      <c r="J330" s="6">
        <f>(H330-G330)/G330</f>
        <v>-9.7844805949960048E-2</v>
      </c>
      <c r="K330" s="3">
        <f>(I330-G330)/G330</f>
        <v>-9.8105521505011783E-2</v>
      </c>
      <c r="L330" s="6">
        <f>ABS(J330)</f>
        <v>9.7844805949960048E-2</v>
      </c>
      <c r="M330" s="3">
        <f>ABS(K330)</f>
        <v>9.8105521505011783E-2</v>
      </c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</row>
    <row r="331" spans="1:34" x14ac:dyDescent="0.35">
      <c r="A331">
        <v>330</v>
      </c>
      <c r="B331">
        <v>22</v>
      </c>
      <c r="C331">
        <v>78</v>
      </c>
      <c r="D331">
        <v>170</v>
      </c>
      <c r="E331" t="s">
        <v>9</v>
      </c>
      <c r="F331">
        <v>411</v>
      </c>
      <c r="G331">
        <f>964-581</f>
        <v>383</v>
      </c>
      <c r="H331">
        <v>390.27189492397002</v>
      </c>
      <c r="I331">
        <v>390.50979583337698</v>
      </c>
      <c r="J331" s="6">
        <f>(H331-G331)/G331</f>
        <v>1.8986670819765076E-2</v>
      </c>
      <c r="K331" s="3">
        <f>(I331-G331)/G331</f>
        <v>1.9607822019261055E-2</v>
      </c>
      <c r="L331" s="6">
        <f>ABS(J331)</f>
        <v>1.8986670819765076E-2</v>
      </c>
      <c r="M331" s="3">
        <f>ABS(K331)</f>
        <v>1.9607822019261055E-2</v>
      </c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</row>
    <row r="332" spans="1:34" x14ac:dyDescent="0.35">
      <c r="A332">
        <v>331</v>
      </c>
      <c r="B332">
        <v>22</v>
      </c>
      <c r="C332">
        <v>78</v>
      </c>
      <c r="D332">
        <v>170</v>
      </c>
      <c r="E332" t="s">
        <v>9</v>
      </c>
      <c r="F332">
        <v>397</v>
      </c>
      <c r="G332">
        <f>1974-1604</f>
        <v>370</v>
      </c>
      <c r="H332">
        <v>384.31811266531702</v>
      </c>
      <c r="I332">
        <v>384.20704783886498</v>
      </c>
      <c r="J332" s="6">
        <f>(H332-G332)/G332</f>
        <v>3.8697601798154097E-2</v>
      </c>
      <c r="K332" s="3">
        <f>(I332-G332)/G332</f>
        <v>3.8397426591526972E-2</v>
      </c>
      <c r="L332" s="6">
        <f>ABS(J332)</f>
        <v>3.8697601798154097E-2</v>
      </c>
      <c r="M332" s="3">
        <f>ABS(K332)</f>
        <v>3.8397426591526972E-2</v>
      </c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</row>
    <row r="333" spans="1:34" x14ac:dyDescent="0.35">
      <c r="A333">
        <v>332</v>
      </c>
      <c r="B333">
        <v>22</v>
      </c>
      <c r="C333">
        <v>78</v>
      </c>
      <c r="D333">
        <v>170</v>
      </c>
      <c r="E333" t="s">
        <v>9</v>
      </c>
      <c r="F333">
        <v>428</v>
      </c>
      <c r="G333">
        <f>540-131</f>
        <v>409</v>
      </c>
      <c r="H333">
        <v>397.50148766662102</v>
      </c>
      <c r="I333">
        <v>401.65903606348502</v>
      </c>
      <c r="J333" s="6">
        <f>(H333-G333)/G333</f>
        <v>-2.8113722086501182E-2</v>
      </c>
      <c r="K333" s="3">
        <f>(I333-G333)/G333</f>
        <v>-1.7948567081943721E-2</v>
      </c>
      <c r="L333" s="6">
        <f>ABS(J333)</f>
        <v>2.8113722086501182E-2</v>
      </c>
      <c r="M333" s="3">
        <f>ABS(K333)</f>
        <v>1.7948567081943721E-2</v>
      </c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</row>
    <row r="334" spans="1:34" x14ac:dyDescent="0.35">
      <c r="A334">
        <v>333</v>
      </c>
      <c r="B334">
        <v>22</v>
      </c>
      <c r="C334">
        <v>78</v>
      </c>
      <c r="D334">
        <v>170</v>
      </c>
      <c r="E334" t="s">
        <v>9</v>
      </c>
      <c r="F334">
        <v>412</v>
      </c>
      <c r="G334">
        <f>410-0</f>
        <v>410</v>
      </c>
      <c r="H334">
        <v>390.69716508530303</v>
      </c>
      <c r="I334">
        <v>390.99151157000898</v>
      </c>
      <c r="J334" s="6">
        <f>(H334-G334)/G334</f>
        <v>-4.7080085157797498E-2</v>
      </c>
      <c r="K334" s="3">
        <f>(I334-G334)/G334</f>
        <v>-4.6362166902417117E-2</v>
      </c>
      <c r="L334" s="6">
        <f>ABS(J334)</f>
        <v>4.7080085157797498E-2</v>
      </c>
      <c r="M334" s="3">
        <f>ABS(K334)</f>
        <v>4.6362166902417117E-2</v>
      </c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</row>
    <row r="335" spans="1:34" x14ac:dyDescent="0.35">
      <c r="A335">
        <v>334</v>
      </c>
      <c r="B335">
        <v>22</v>
      </c>
      <c r="C335">
        <v>78</v>
      </c>
      <c r="D335">
        <v>170</v>
      </c>
      <c r="E335" t="s">
        <v>9</v>
      </c>
      <c r="F335">
        <v>403</v>
      </c>
      <c r="G335">
        <f>808-401</f>
        <v>407</v>
      </c>
      <c r="H335">
        <v>386.869733633311</v>
      </c>
      <c r="I335">
        <v>386.79151666238101</v>
      </c>
      <c r="J335" s="6">
        <f>(H335-G335)/G335</f>
        <v>-4.9460113923068795E-2</v>
      </c>
      <c r="K335" s="3">
        <f>(I335-G335)/G335</f>
        <v>-4.9652293212823065E-2</v>
      </c>
      <c r="L335" s="6">
        <f>ABS(J335)</f>
        <v>4.9460113923068795E-2</v>
      </c>
      <c r="M335" s="3">
        <f>ABS(K335)</f>
        <v>4.9652293212823065E-2</v>
      </c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</row>
    <row r="336" spans="1:34" x14ac:dyDescent="0.35">
      <c r="A336">
        <v>335</v>
      </c>
      <c r="B336">
        <v>22</v>
      </c>
      <c r="C336">
        <v>78</v>
      </c>
      <c r="D336">
        <v>170</v>
      </c>
      <c r="E336" t="s">
        <v>9</v>
      </c>
      <c r="F336">
        <v>383</v>
      </c>
      <c r="G336">
        <f>407-38</f>
        <v>369</v>
      </c>
      <c r="H336">
        <v>378.36433040666299</v>
      </c>
      <c r="I336">
        <v>378.77829963133303</v>
      </c>
      <c r="J336" s="6">
        <f>(H336-G336)/G336</f>
        <v>2.5377589177948474E-2</v>
      </c>
      <c r="K336" s="3">
        <f>(I336-G336)/G336</f>
        <v>2.6499456995482458E-2</v>
      </c>
      <c r="L336" s="6">
        <f>ABS(J336)</f>
        <v>2.5377589177948474E-2</v>
      </c>
      <c r="M336" s="3">
        <f>ABS(K336)</f>
        <v>2.6499456995482458E-2</v>
      </c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</row>
    <row r="337" spans="1:34" x14ac:dyDescent="0.35">
      <c r="A337">
        <v>336</v>
      </c>
      <c r="B337">
        <v>22</v>
      </c>
      <c r="C337">
        <v>78</v>
      </c>
      <c r="D337">
        <v>170</v>
      </c>
      <c r="E337" t="s">
        <v>9</v>
      </c>
      <c r="F337">
        <v>384</v>
      </c>
      <c r="G337">
        <f>978-595</f>
        <v>383</v>
      </c>
      <c r="H337">
        <v>378.78960056799599</v>
      </c>
      <c r="I337">
        <v>379.13530240393402</v>
      </c>
      <c r="J337" s="6">
        <f>(H337-G337)/G337</f>
        <v>-1.0993210005232403E-2</v>
      </c>
      <c r="K337" s="3">
        <f>(I337-G337)/G337</f>
        <v>-1.0090594245603081E-2</v>
      </c>
      <c r="L337" s="6">
        <f>ABS(J337)</f>
        <v>1.0993210005232403E-2</v>
      </c>
      <c r="M337" s="3">
        <f>ABS(K337)</f>
        <v>1.0090594245603081E-2</v>
      </c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</row>
    <row r="338" spans="1:34" x14ac:dyDescent="0.35">
      <c r="A338">
        <v>337</v>
      </c>
      <c r="B338">
        <v>22</v>
      </c>
      <c r="C338">
        <v>78</v>
      </c>
      <c r="D338">
        <v>170</v>
      </c>
      <c r="E338" t="s">
        <v>9</v>
      </c>
      <c r="F338">
        <v>398</v>
      </c>
      <c r="G338">
        <f>448-0</f>
        <v>448</v>
      </c>
      <c r="H338">
        <v>384.743382826649</v>
      </c>
      <c r="I338">
        <v>384.63779264278401</v>
      </c>
      <c r="J338" s="6">
        <f>(H338-G338)/G338</f>
        <v>-0.14119780619051564</v>
      </c>
      <c r="K338" s="3">
        <f>(I338-G338)/G338</f>
        <v>-0.14143349856521428</v>
      </c>
      <c r="L338" s="6">
        <f>ABS(J338)</f>
        <v>0.14119780619051564</v>
      </c>
      <c r="M338" s="3">
        <f>ABS(K338)</f>
        <v>0.14143349856521428</v>
      </c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</row>
    <row r="339" spans="1:34" x14ac:dyDescent="0.35">
      <c r="A339">
        <v>338</v>
      </c>
      <c r="B339">
        <v>22</v>
      </c>
      <c r="C339">
        <v>78</v>
      </c>
      <c r="D339">
        <v>170</v>
      </c>
      <c r="E339" t="s">
        <v>9</v>
      </c>
      <c r="F339">
        <v>380</v>
      </c>
      <c r="G339">
        <f>1373-976</f>
        <v>397</v>
      </c>
      <c r="H339">
        <v>377.08851992266602</v>
      </c>
      <c r="I339">
        <v>377.70729131353198</v>
      </c>
      <c r="J339" s="6">
        <f>(H339-G339)/G339</f>
        <v>-5.0154861655753093E-2</v>
      </c>
      <c r="K339" s="3">
        <f>(I339-G339)/G339</f>
        <v>-4.85962435427406E-2</v>
      </c>
      <c r="L339" s="6">
        <f>ABS(J339)</f>
        <v>5.0154861655753093E-2</v>
      </c>
      <c r="M339" s="3">
        <f>ABS(K339)</f>
        <v>4.85962435427406E-2</v>
      </c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</row>
    <row r="340" spans="1:34" x14ac:dyDescent="0.35">
      <c r="A340">
        <v>339</v>
      </c>
      <c r="B340">
        <v>22</v>
      </c>
      <c r="C340">
        <v>78</v>
      </c>
      <c r="D340">
        <v>170</v>
      </c>
      <c r="E340" t="s">
        <v>9</v>
      </c>
      <c r="F340">
        <v>415</v>
      </c>
      <c r="G340">
        <f>823-438</f>
        <v>385</v>
      </c>
      <c r="H340">
        <v>391.97297556929999</v>
      </c>
      <c r="I340">
        <v>392.80296773378802</v>
      </c>
      <c r="J340" s="6">
        <f>(H340-G340)/G340</f>
        <v>1.8111624855324651E-2</v>
      </c>
      <c r="K340" s="3">
        <f>(I340-G340)/G340</f>
        <v>2.0267448659189669E-2</v>
      </c>
      <c r="L340" s="6">
        <f>ABS(J340)</f>
        <v>1.8111624855324651E-2</v>
      </c>
      <c r="M340" s="3">
        <f>ABS(K340)</f>
        <v>2.0267448659189669E-2</v>
      </c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</row>
    <row r="341" spans="1:34" x14ac:dyDescent="0.35">
      <c r="A341">
        <v>340</v>
      </c>
      <c r="B341">
        <v>22</v>
      </c>
      <c r="C341">
        <v>78</v>
      </c>
      <c r="D341">
        <v>170</v>
      </c>
      <c r="E341" t="s">
        <v>9</v>
      </c>
      <c r="F341">
        <v>414</v>
      </c>
      <c r="G341">
        <f>397-0</f>
        <v>397</v>
      </c>
      <c r="H341">
        <v>391.54770540796699</v>
      </c>
      <c r="I341">
        <v>392.12173170842698</v>
      </c>
      <c r="J341" s="6">
        <f>(H341-G341)/G341</f>
        <v>-1.373373952653152E-2</v>
      </c>
      <c r="K341" s="3">
        <f>(I341-G341)/G341</f>
        <v>-1.22878294498061E-2</v>
      </c>
      <c r="L341" s="6">
        <f>ABS(J341)</f>
        <v>1.373373952653152E-2</v>
      </c>
      <c r="M341" s="3">
        <f>ABS(K341)</f>
        <v>1.22878294498061E-2</v>
      </c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</row>
    <row r="342" spans="1:34" x14ac:dyDescent="0.35">
      <c r="A342">
        <v>341</v>
      </c>
      <c r="B342">
        <v>22</v>
      </c>
      <c r="C342">
        <v>78</v>
      </c>
      <c r="D342">
        <v>170</v>
      </c>
      <c r="E342" t="s">
        <v>9</v>
      </c>
      <c r="F342">
        <v>365</v>
      </c>
      <c r="G342">
        <f>1061-676</f>
        <v>385</v>
      </c>
      <c r="H342">
        <v>370.70946750268001</v>
      </c>
      <c r="I342">
        <v>376.06711945650602</v>
      </c>
      <c r="J342" s="6">
        <f>(H342-G342)/G342</f>
        <v>-3.7118266226805162E-2</v>
      </c>
      <c r="K342" s="3">
        <f>(I342-G342)/G342</f>
        <v>-2.3202287125958388E-2</v>
      </c>
      <c r="L342" s="6">
        <f>ABS(J342)</f>
        <v>3.7118266226805162E-2</v>
      </c>
      <c r="M342" s="3">
        <f>ABS(K342)</f>
        <v>2.3202287125958388E-2</v>
      </c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</row>
    <row r="343" spans="1:34" x14ac:dyDescent="0.35">
      <c r="A343">
        <v>342</v>
      </c>
      <c r="B343">
        <v>22</v>
      </c>
      <c r="C343">
        <v>78</v>
      </c>
      <c r="D343">
        <v>170</v>
      </c>
      <c r="E343" t="s">
        <v>9</v>
      </c>
      <c r="F343">
        <v>399</v>
      </c>
      <c r="G343">
        <f>1258-868</f>
        <v>390</v>
      </c>
      <c r="H343">
        <v>385.168652987982</v>
      </c>
      <c r="I343">
        <v>385.068537446704</v>
      </c>
      <c r="J343" s="6">
        <f>(H343-G343)/G343</f>
        <v>-1.2388069261584615E-2</v>
      </c>
      <c r="K343" s="3">
        <f>(I343-G343)/G343</f>
        <v>-1.2644775777682053E-2</v>
      </c>
      <c r="L343" s="6">
        <f>ABS(J343)</f>
        <v>1.2388069261584615E-2</v>
      </c>
      <c r="M343" s="3">
        <f>ABS(K343)</f>
        <v>1.2644775777682053E-2</v>
      </c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</row>
    <row r="344" spans="1:34" x14ac:dyDescent="0.35">
      <c r="A344">
        <v>343</v>
      </c>
      <c r="B344">
        <v>22</v>
      </c>
      <c r="C344">
        <v>78</v>
      </c>
      <c r="D344">
        <v>170</v>
      </c>
      <c r="E344" t="s">
        <v>9</v>
      </c>
      <c r="F344">
        <v>414</v>
      </c>
      <c r="G344">
        <f>1276-884</f>
        <v>392</v>
      </c>
      <c r="H344">
        <v>391.54770540796699</v>
      </c>
      <c r="I344">
        <v>392.12173170842698</v>
      </c>
      <c r="J344" s="6">
        <f>(H344-G344)/G344</f>
        <v>-1.1538127347780944E-3</v>
      </c>
      <c r="K344" s="3">
        <f>(I344-G344)/G344</f>
        <v>3.10540072517801E-4</v>
      </c>
      <c r="L344" s="6">
        <f>ABS(J344)</f>
        <v>1.1538127347780944E-3</v>
      </c>
      <c r="M344" s="3">
        <f>ABS(K344)</f>
        <v>3.10540072517801E-4</v>
      </c>
      <c r="O344" s="20"/>
      <c r="P344" s="20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</row>
    <row r="345" spans="1:34" x14ac:dyDescent="0.35">
      <c r="A345">
        <v>344</v>
      </c>
      <c r="B345">
        <v>22</v>
      </c>
      <c r="C345">
        <v>78</v>
      </c>
      <c r="D345">
        <v>170</v>
      </c>
      <c r="E345" t="s">
        <v>9</v>
      </c>
      <c r="F345">
        <v>380</v>
      </c>
      <c r="G345">
        <f>778-402</f>
        <v>376</v>
      </c>
      <c r="H345">
        <v>377.08851992266602</v>
      </c>
      <c r="I345">
        <v>377.70729131353198</v>
      </c>
      <c r="J345" s="6">
        <f>(H345-G345)/G345</f>
        <v>2.8949997943245303E-3</v>
      </c>
      <c r="K345" s="3">
        <f>(I345-G345)/G345</f>
        <v>4.5406683870531442E-3</v>
      </c>
      <c r="L345" s="6">
        <f>ABS(J345)</f>
        <v>2.8949997943245303E-3</v>
      </c>
      <c r="M345" s="3">
        <f>ABS(K345)</f>
        <v>4.5406683870531442E-3</v>
      </c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</row>
    <row r="346" spans="1:34" x14ac:dyDescent="0.35">
      <c r="A346">
        <v>345</v>
      </c>
      <c r="B346">
        <v>22</v>
      </c>
      <c r="C346">
        <v>78</v>
      </c>
      <c r="D346">
        <v>170</v>
      </c>
      <c r="E346" t="s">
        <v>9</v>
      </c>
      <c r="F346">
        <v>393</v>
      </c>
      <c r="G346">
        <f>1417-1017</f>
        <v>400</v>
      </c>
      <c r="H346">
        <v>382.61703201998699</v>
      </c>
      <c r="I346">
        <v>382.48406862318802</v>
      </c>
      <c r="J346" s="6">
        <f>(H346-G346)/G346</f>
        <v>-4.3457419950032515E-2</v>
      </c>
      <c r="K346" s="3">
        <f>(I346-G346)/G346</f>
        <v>-4.3789828442029943E-2</v>
      </c>
      <c r="L346" s="6">
        <f>ABS(J346)</f>
        <v>4.3457419950032515E-2</v>
      </c>
      <c r="M346" s="3">
        <f>ABS(K346)</f>
        <v>4.3789828442029943E-2</v>
      </c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</row>
    <row r="347" spans="1:34" x14ac:dyDescent="0.35">
      <c r="A347">
        <v>346</v>
      </c>
      <c r="B347">
        <v>22</v>
      </c>
      <c r="C347">
        <v>78</v>
      </c>
      <c r="D347">
        <v>170</v>
      </c>
      <c r="E347" t="s">
        <v>9</v>
      </c>
      <c r="F347">
        <v>399</v>
      </c>
      <c r="G347">
        <f>619-237</f>
        <v>382</v>
      </c>
      <c r="H347">
        <v>385.168652987982</v>
      </c>
      <c r="I347">
        <v>385.068537446704</v>
      </c>
      <c r="J347" s="6">
        <f>(H347-G347)/G347</f>
        <v>8.2949031099005237E-3</v>
      </c>
      <c r="K347" s="3">
        <f>(I347-G347)/G347</f>
        <v>8.0328205411099463E-3</v>
      </c>
      <c r="L347" s="6">
        <f>ABS(J347)</f>
        <v>8.2949031099005237E-3</v>
      </c>
      <c r="M347" s="3">
        <f>ABS(K347)</f>
        <v>8.0328205411099463E-3</v>
      </c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</row>
    <row r="348" spans="1:34" x14ac:dyDescent="0.35">
      <c r="A348">
        <v>347</v>
      </c>
      <c r="B348">
        <v>22</v>
      </c>
      <c r="C348">
        <v>78</v>
      </c>
      <c r="D348">
        <v>170</v>
      </c>
      <c r="E348" t="s">
        <v>9</v>
      </c>
      <c r="F348">
        <v>393</v>
      </c>
      <c r="G348">
        <f>1421-1044</f>
        <v>377</v>
      </c>
      <c r="H348">
        <v>382.61703201998699</v>
      </c>
      <c r="I348">
        <v>382.48406862318802</v>
      </c>
      <c r="J348" s="6">
        <f>(H348-G348)/G348</f>
        <v>1.4899289177684332E-2</v>
      </c>
      <c r="K348" s="3">
        <f>(I348-G348)/G348</f>
        <v>1.4546601122514649E-2</v>
      </c>
      <c r="L348" s="6">
        <f>ABS(J348)</f>
        <v>1.4899289177684332E-2</v>
      </c>
      <c r="M348" s="3">
        <f>ABS(K348)</f>
        <v>1.4546601122514649E-2</v>
      </c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</row>
    <row r="349" spans="1:34" x14ac:dyDescent="0.35">
      <c r="A349">
        <v>348</v>
      </c>
      <c r="B349">
        <v>22</v>
      </c>
      <c r="C349">
        <v>78</v>
      </c>
      <c r="D349">
        <v>170</v>
      </c>
      <c r="E349" t="s">
        <v>9</v>
      </c>
      <c r="F349">
        <v>412</v>
      </c>
      <c r="G349">
        <f>727-352</f>
        <v>375</v>
      </c>
      <c r="H349">
        <v>390.69716508530303</v>
      </c>
      <c r="I349">
        <v>390.99151157000898</v>
      </c>
      <c r="J349" s="6">
        <f>(H349-G349)/G349</f>
        <v>4.1859106894141407E-2</v>
      </c>
      <c r="K349" s="3">
        <f>(I349-G349)/G349</f>
        <v>4.2644030853357287E-2</v>
      </c>
      <c r="L349" s="6">
        <f>ABS(J349)</f>
        <v>4.1859106894141407E-2</v>
      </c>
      <c r="M349" s="3">
        <f>ABS(K349)</f>
        <v>4.2644030853357287E-2</v>
      </c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</row>
    <row r="350" spans="1:34" x14ac:dyDescent="0.35">
      <c r="A350">
        <v>349</v>
      </c>
      <c r="B350">
        <v>22</v>
      </c>
      <c r="C350">
        <v>78</v>
      </c>
      <c r="D350">
        <v>170</v>
      </c>
      <c r="E350" t="s">
        <v>9</v>
      </c>
      <c r="F350">
        <v>402</v>
      </c>
      <c r="G350">
        <f>1196-795</f>
        <v>401</v>
      </c>
      <c r="H350">
        <v>386.44446347197902</v>
      </c>
      <c r="I350">
        <v>386.36077185846199</v>
      </c>
      <c r="J350" s="6">
        <f>(H350-G350)/G350</f>
        <v>-3.6298096079852821E-2</v>
      </c>
      <c r="K350" s="3">
        <f>(I350-G350)/G350</f>
        <v>-3.6506803345481328E-2</v>
      </c>
      <c r="L350" s="6">
        <f>ABS(J350)</f>
        <v>3.6298096079852821E-2</v>
      </c>
      <c r="M350" s="3">
        <f>ABS(K350)</f>
        <v>3.6506803345481328E-2</v>
      </c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</row>
    <row r="351" spans="1:34" x14ac:dyDescent="0.35">
      <c r="A351">
        <v>350</v>
      </c>
      <c r="B351">
        <v>22</v>
      </c>
      <c r="C351">
        <v>78</v>
      </c>
      <c r="D351">
        <v>170</v>
      </c>
      <c r="E351" t="s">
        <v>9</v>
      </c>
      <c r="F351">
        <v>413</v>
      </c>
      <c r="G351">
        <f>307-0</f>
        <v>307</v>
      </c>
      <c r="H351">
        <v>391.12243524663501</v>
      </c>
      <c r="I351">
        <v>391.473227306642</v>
      </c>
      <c r="J351" s="6">
        <f>(H351-G351)/G351</f>
        <v>0.27401444705744304</v>
      </c>
      <c r="K351" s="3">
        <f>(I351-G351)/G351</f>
        <v>0.27515709220404561</v>
      </c>
      <c r="L351" s="6">
        <f>ABS(J351)</f>
        <v>0.27401444705744304</v>
      </c>
      <c r="M351" s="3">
        <f>ABS(K351)</f>
        <v>0.27515709220404561</v>
      </c>
      <c r="O351" s="20"/>
      <c r="P351" s="20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</row>
    <row r="352" spans="1:34" x14ac:dyDescent="0.35">
      <c r="A352">
        <v>351</v>
      </c>
      <c r="B352">
        <v>22</v>
      </c>
      <c r="C352">
        <v>78</v>
      </c>
      <c r="D352">
        <v>170</v>
      </c>
      <c r="E352" t="s">
        <v>9</v>
      </c>
      <c r="F352">
        <v>367</v>
      </c>
      <c r="G352">
        <f>743-349</f>
        <v>394</v>
      </c>
      <c r="H352">
        <v>371.560007825345</v>
      </c>
      <c r="I352">
        <v>375.99591536685898</v>
      </c>
      <c r="J352" s="6">
        <f>(H352-G352)/G352</f>
        <v>-5.6954294859530463E-2</v>
      </c>
      <c r="K352" s="3">
        <f>(I352-G352)/G352</f>
        <v>-4.5695646277007666E-2</v>
      </c>
      <c r="L352" s="6">
        <f>ABS(J352)</f>
        <v>5.6954294859530463E-2</v>
      </c>
      <c r="M352" s="3">
        <f>ABS(K352)</f>
        <v>4.5695646277007666E-2</v>
      </c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</row>
    <row r="353" spans="1:34" x14ac:dyDescent="0.35">
      <c r="A353">
        <v>352</v>
      </c>
      <c r="B353">
        <v>22</v>
      </c>
      <c r="C353">
        <v>78</v>
      </c>
      <c r="D353">
        <v>170</v>
      </c>
      <c r="E353" t="s">
        <v>9</v>
      </c>
      <c r="F353">
        <v>341</v>
      </c>
      <c r="G353">
        <f>343-0</f>
        <v>343</v>
      </c>
      <c r="H353">
        <v>360.502983630703</v>
      </c>
      <c r="I353">
        <v>385.113438538867</v>
      </c>
      <c r="J353" s="6">
        <f>(H353-G353)/G353</f>
        <v>5.102910679505248E-2</v>
      </c>
      <c r="K353" s="3">
        <f>(I353-G353)/G353</f>
        <v>0.12277970419494752</v>
      </c>
      <c r="L353" s="6">
        <f>ABS(J353)</f>
        <v>5.102910679505248E-2</v>
      </c>
      <c r="M353" s="3">
        <f>ABS(K353)</f>
        <v>0.12277970419494752</v>
      </c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</row>
    <row r="354" spans="1:34" x14ac:dyDescent="0.35">
      <c r="A354">
        <v>353</v>
      </c>
      <c r="B354">
        <v>22</v>
      </c>
      <c r="C354">
        <v>78</v>
      </c>
      <c r="D354">
        <v>170</v>
      </c>
      <c r="E354" t="s">
        <v>9</v>
      </c>
      <c r="F354">
        <v>381</v>
      </c>
      <c r="G354">
        <f>834-445</f>
        <v>389</v>
      </c>
      <c r="H354">
        <v>377.51379008399903</v>
      </c>
      <c r="I354">
        <v>378.06429408613297</v>
      </c>
      <c r="J354" s="6">
        <f>(H354-G354)/G354</f>
        <v>-2.9527531917740293E-2</v>
      </c>
      <c r="K354" s="3">
        <f>(I354-G354)/G354</f>
        <v>-2.8112354534362533E-2</v>
      </c>
      <c r="L354" s="6">
        <f>ABS(J354)</f>
        <v>2.9527531917740293E-2</v>
      </c>
      <c r="M354" s="3">
        <f>ABS(K354)</f>
        <v>2.8112354534362533E-2</v>
      </c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</row>
    <row r="355" spans="1:34" x14ac:dyDescent="0.35">
      <c r="A355">
        <v>354</v>
      </c>
      <c r="B355">
        <v>22</v>
      </c>
      <c r="C355">
        <v>78</v>
      </c>
      <c r="D355">
        <v>170</v>
      </c>
      <c r="E355" t="s">
        <v>9</v>
      </c>
      <c r="F355">
        <v>398</v>
      </c>
      <c r="G355">
        <f>873-505</f>
        <v>368</v>
      </c>
      <c r="H355">
        <v>384.743382826649</v>
      </c>
      <c r="I355">
        <v>384.63779264278401</v>
      </c>
      <c r="J355" s="6">
        <f>(H355-G355)/G355</f>
        <v>4.549832289850271E-2</v>
      </c>
      <c r="K355" s="3">
        <f>(I355-G355)/G355</f>
        <v>4.5211393051043498E-2</v>
      </c>
      <c r="L355" s="6">
        <f>ABS(J355)</f>
        <v>4.549832289850271E-2</v>
      </c>
      <c r="M355" s="3">
        <f>ABS(K355)</f>
        <v>4.5211393051043498E-2</v>
      </c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</row>
    <row r="356" spans="1:34" x14ac:dyDescent="0.35">
      <c r="A356">
        <v>355</v>
      </c>
      <c r="B356">
        <v>22</v>
      </c>
      <c r="C356">
        <v>78</v>
      </c>
      <c r="D356">
        <v>170</v>
      </c>
      <c r="E356" t="s">
        <v>9</v>
      </c>
      <c r="F356">
        <v>380</v>
      </c>
      <c r="G356">
        <f>681-272</f>
        <v>409</v>
      </c>
      <c r="H356">
        <v>377.08851992266602</v>
      </c>
      <c r="I356">
        <v>377.70729131353198</v>
      </c>
      <c r="J356" s="6">
        <f>(H356-G356)/G356</f>
        <v>-7.8023178673188212E-2</v>
      </c>
      <c r="K356" s="3">
        <f>(I356-G356)/G356</f>
        <v>-7.651029018696337E-2</v>
      </c>
      <c r="L356" s="6">
        <f>ABS(J356)</f>
        <v>7.8023178673188212E-2</v>
      </c>
      <c r="M356" s="3">
        <f>ABS(K356)</f>
        <v>7.651029018696337E-2</v>
      </c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</row>
    <row r="357" spans="1:34" x14ac:dyDescent="0.35">
      <c r="A357">
        <v>356</v>
      </c>
      <c r="B357">
        <v>22</v>
      </c>
      <c r="C357">
        <v>78</v>
      </c>
      <c r="D357">
        <v>170</v>
      </c>
      <c r="E357" t="s">
        <v>9</v>
      </c>
      <c r="F357">
        <v>413</v>
      </c>
      <c r="G357">
        <f>1145-743</f>
        <v>402</v>
      </c>
      <c r="H357">
        <v>391.12243524663501</v>
      </c>
      <c r="I357">
        <v>391.473227306642</v>
      </c>
      <c r="J357" s="6">
        <f>(H357-G357)/G357</f>
        <v>-2.7058618789465156E-2</v>
      </c>
      <c r="K357" s="3">
        <f>(I357-G357)/G357</f>
        <v>-2.6186001724771139E-2</v>
      </c>
      <c r="L357" s="6">
        <f>ABS(J357)</f>
        <v>2.7058618789465156E-2</v>
      </c>
      <c r="M357" s="3">
        <f>ABS(K357)</f>
        <v>2.6186001724771139E-2</v>
      </c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</row>
    <row r="358" spans="1:34" x14ac:dyDescent="0.35">
      <c r="A358">
        <v>357</v>
      </c>
      <c r="B358">
        <v>22</v>
      </c>
      <c r="C358">
        <v>78</v>
      </c>
      <c r="D358">
        <v>170</v>
      </c>
      <c r="E358" t="s">
        <v>9</v>
      </c>
      <c r="F358">
        <v>381</v>
      </c>
      <c r="G358">
        <f>966-581</f>
        <v>385</v>
      </c>
      <c r="H358">
        <v>377.51379008399903</v>
      </c>
      <c r="I358">
        <v>378.06429408613297</v>
      </c>
      <c r="J358" s="6">
        <f>(H358-G358)/G358</f>
        <v>-1.9444701080522007E-2</v>
      </c>
      <c r="K358" s="3">
        <f>(I358-G358)/G358</f>
        <v>-1.8014820555498766E-2</v>
      </c>
      <c r="L358" s="6">
        <f>ABS(J358)</f>
        <v>1.9444701080522007E-2</v>
      </c>
      <c r="M358" s="3">
        <f>ABS(K358)</f>
        <v>1.8014820555498766E-2</v>
      </c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</row>
    <row r="359" spans="1:34" x14ac:dyDescent="0.35">
      <c r="A359">
        <v>358</v>
      </c>
      <c r="B359">
        <v>22</v>
      </c>
      <c r="C359">
        <v>78</v>
      </c>
      <c r="D359">
        <v>170</v>
      </c>
      <c r="E359" t="s">
        <v>9</v>
      </c>
      <c r="F359">
        <v>380</v>
      </c>
      <c r="G359">
        <f>1596-1219</f>
        <v>377</v>
      </c>
      <c r="H359">
        <v>377.08851992266602</v>
      </c>
      <c r="I359">
        <v>377.70729131353198</v>
      </c>
      <c r="J359" s="6">
        <f>(H359-G359)/G359</f>
        <v>2.348008558780461E-4</v>
      </c>
      <c r="K359" s="3">
        <f>(I359-G359)/G359</f>
        <v>1.8761042799256824E-3</v>
      </c>
      <c r="L359" s="6">
        <f>ABS(J359)</f>
        <v>2.348008558780461E-4</v>
      </c>
      <c r="M359" s="3">
        <f>ABS(K359)</f>
        <v>1.8761042799256824E-3</v>
      </c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</row>
    <row r="360" spans="1:34" x14ac:dyDescent="0.35">
      <c r="A360">
        <v>359</v>
      </c>
      <c r="B360">
        <v>22</v>
      </c>
      <c r="C360">
        <v>78</v>
      </c>
      <c r="D360">
        <v>170</v>
      </c>
      <c r="E360" t="s">
        <v>9</v>
      </c>
      <c r="F360">
        <v>398</v>
      </c>
      <c r="G360">
        <f>1428-1031</f>
        <v>397</v>
      </c>
      <c r="H360">
        <v>384.743382826649</v>
      </c>
      <c r="I360">
        <v>384.63779264278401</v>
      </c>
      <c r="J360" s="6">
        <f>(H360-G360)/G360</f>
        <v>-3.0873091116753158E-2</v>
      </c>
      <c r="K360" s="3">
        <f>(I360-G360)/G360</f>
        <v>-3.1139061353188901E-2</v>
      </c>
      <c r="L360" s="6">
        <f>ABS(J360)</f>
        <v>3.0873091116753158E-2</v>
      </c>
      <c r="M360" s="3">
        <f>ABS(K360)</f>
        <v>3.1139061353188901E-2</v>
      </c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</row>
    <row r="361" spans="1:34" x14ac:dyDescent="0.35">
      <c r="A361">
        <v>360</v>
      </c>
      <c r="B361">
        <v>22</v>
      </c>
      <c r="C361">
        <v>78</v>
      </c>
      <c r="D361">
        <v>170</v>
      </c>
      <c r="E361" t="s">
        <v>9</v>
      </c>
      <c r="F361">
        <v>413</v>
      </c>
      <c r="G361">
        <f>557-181</f>
        <v>376</v>
      </c>
      <c r="H361">
        <v>391.12243524663501</v>
      </c>
      <c r="I361">
        <v>391.473227306642</v>
      </c>
      <c r="J361" s="6">
        <f>(H361-G361)/G361</f>
        <v>4.0219242677220761E-2</v>
      </c>
      <c r="K361" s="3">
        <f>(I361-G361)/G361</f>
        <v>4.1152200283622348E-2</v>
      </c>
      <c r="L361" s="6">
        <f>ABS(J361)</f>
        <v>4.0219242677220761E-2</v>
      </c>
      <c r="M361" s="3">
        <f>ABS(K361)</f>
        <v>4.1152200283622348E-2</v>
      </c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</row>
    <row r="362" spans="1:34" x14ac:dyDescent="0.35">
      <c r="A362">
        <v>361</v>
      </c>
      <c r="B362">
        <v>22</v>
      </c>
      <c r="C362">
        <v>78</v>
      </c>
      <c r="D362">
        <v>170</v>
      </c>
      <c r="E362" t="s">
        <v>9</v>
      </c>
      <c r="F362">
        <v>399</v>
      </c>
      <c r="G362">
        <f>820-425</f>
        <v>395</v>
      </c>
      <c r="H362">
        <v>385.168652987982</v>
      </c>
      <c r="I362">
        <v>385.068537446704</v>
      </c>
      <c r="J362" s="6">
        <f>(H362-G362)/G362</f>
        <v>-2.4889486106374682E-2</v>
      </c>
      <c r="K362" s="3">
        <f>(I362-G362)/G362</f>
        <v>-2.5142943172901267E-2</v>
      </c>
      <c r="L362" s="6">
        <f>ABS(J362)</f>
        <v>2.4889486106374682E-2</v>
      </c>
      <c r="M362" s="3">
        <f>ABS(K362)</f>
        <v>2.5142943172901267E-2</v>
      </c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</row>
    <row r="363" spans="1:34" x14ac:dyDescent="0.35">
      <c r="A363">
        <v>362</v>
      </c>
      <c r="B363">
        <v>22</v>
      </c>
      <c r="C363">
        <v>78</v>
      </c>
      <c r="D363">
        <v>170</v>
      </c>
      <c r="E363" t="s">
        <v>9</v>
      </c>
      <c r="F363">
        <v>384</v>
      </c>
      <c r="G363">
        <f>736-327</f>
        <v>409</v>
      </c>
      <c r="H363">
        <v>378.78960056799599</v>
      </c>
      <c r="I363">
        <v>379.13530240393402</v>
      </c>
      <c r="J363" s="6">
        <f>(H363-G363)/G363</f>
        <v>-7.3864057290963347E-2</v>
      </c>
      <c r="K363" s="3">
        <f>(I363-G363)/G363</f>
        <v>-7.3018820528278683E-2</v>
      </c>
      <c r="L363" s="6">
        <f>ABS(J363)</f>
        <v>7.3864057290963347E-2</v>
      </c>
      <c r="M363" s="3">
        <f>ABS(K363)</f>
        <v>7.3018820528278683E-2</v>
      </c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</row>
    <row r="364" spans="1:34" x14ac:dyDescent="0.35">
      <c r="A364">
        <v>363</v>
      </c>
      <c r="B364">
        <v>22</v>
      </c>
      <c r="C364">
        <v>78</v>
      </c>
      <c r="D364">
        <v>170</v>
      </c>
      <c r="E364" t="s">
        <v>9</v>
      </c>
      <c r="F364">
        <v>382</v>
      </c>
      <c r="G364">
        <f>1097-738</f>
        <v>359</v>
      </c>
      <c r="H364">
        <v>377.93906024533101</v>
      </c>
      <c r="I364">
        <v>378.421296858733</v>
      </c>
      <c r="J364" s="6">
        <f>(H364-G364)/G364</f>
        <v>5.2755042466103082E-2</v>
      </c>
      <c r="K364" s="3">
        <f>(I364-G364)/G364</f>
        <v>5.4098319940760448E-2</v>
      </c>
      <c r="L364" s="6">
        <f>ABS(J364)</f>
        <v>5.2755042466103082E-2</v>
      </c>
      <c r="M364" s="3">
        <f>ABS(K364)</f>
        <v>5.4098319940760448E-2</v>
      </c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</row>
    <row r="365" spans="1:34" x14ac:dyDescent="0.35">
      <c r="A365">
        <v>364</v>
      </c>
      <c r="B365">
        <v>22</v>
      </c>
      <c r="C365">
        <v>78</v>
      </c>
      <c r="D365">
        <v>170</v>
      </c>
      <c r="E365" t="s">
        <v>9</v>
      </c>
      <c r="F365">
        <v>413</v>
      </c>
      <c r="G365">
        <f>1366-956</f>
        <v>410</v>
      </c>
      <c r="H365">
        <v>391.12243524663501</v>
      </c>
      <c r="I365">
        <v>391.473227306642</v>
      </c>
      <c r="J365" s="6">
        <f>(H365-G365)/G365</f>
        <v>-4.6042840861865837E-2</v>
      </c>
      <c r="K365" s="3">
        <f>(I365-G365)/G365</f>
        <v>-4.5187250471604871E-2</v>
      </c>
      <c r="L365" s="6">
        <f>ABS(J365)</f>
        <v>4.6042840861865837E-2</v>
      </c>
      <c r="M365" s="3">
        <f>ABS(K365)</f>
        <v>4.5187250471604871E-2</v>
      </c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</row>
    <row r="366" spans="1:34" x14ac:dyDescent="0.35">
      <c r="A366">
        <v>365</v>
      </c>
      <c r="B366">
        <v>22</v>
      </c>
      <c r="C366">
        <v>78</v>
      </c>
      <c r="D366">
        <v>170</v>
      </c>
      <c r="E366" t="s">
        <v>9</v>
      </c>
      <c r="F366">
        <v>381</v>
      </c>
      <c r="G366">
        <f>1699-1319</f>
        <v>380</v>
      </c>
      <c r="H366">
        <v>377.51379008399903</v>
      </c>
      <c r="I366">
        <v>378.06429408613297</v>
      </c>
      <c r="J366" s="6">
        <f>(H366-G366)/G366</f>
        <v>-6.5426576736867725E-3</v>
      </c>
      <c r="K366" s="3">
        <f>(I366-G366)/G366</f>
        <v>-5.0939629312290137E-3</v>
      </c>
      <c r="L366" s="6">
        <f>ABS(J366)</f>
        <v>6.5426576736867725E-3</v>
      </c>
      <c r="M366" s="3">
        <f>ABS(K366)</f>
        <v>5.0939629312290137E-3</v>
      </c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</row>
    <row r="367" spans="1:34" x14ac:dyDescent="0.35">
      <c r="A367">
        <v>366</v>
      </c>
      <c r="B367">
        <v>22</v>
      </c>
      <c r="C367">
        <v>78</v>
      </c>
      <c r="D367">
        <v>170</v>
      </c>
      <c r="E367" t="s">
        <v>9</v>
      </c>
      <c r="F367">
        <v>399</v>
      </c>
      <c r="G367">
        <f>1332-942</f>
        <v>390</v>
      </c>
      <c r="H367">
        <v>385.168652987982</v>
      </c>
      <c r="I367">
        <v>385.068537446704</v>
      </c>
      <c r="J367" s="6">
        <f>(H367-G367)/G367</f>
        <v>-1.2388069261584615E-2</v>
      </c>
      <c r="K367" s="3">
        <f>(I367-G367)/G367</f>
        <v>-1.2644775777682053E-2</v>
      </c>
      <c r="L367" s="6">
        <f>ABS(J367)</f>
        <v>1.2388069261584615E-2</v>
      </c>
      <c r="M367" s="3">
        <f>ABS(K367)</f>
        <v>1.2644775777682053E-2</v>
      </c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</row>
    <row r="368" spans="1:34" x14ac:dyDescent="0.35">
      <c r="A368">
        <v>367</v>
      </c>
      <c r="B368">
        <v>22</v>
      </c>
      <c r="C368">
        <v>78</v>
      </c>
      <c r="D368">
        <v>170</v>
      </c>
      <c r="E368" t="s">
        <v>9</v>
      </c>
      <c r="F368">
        <v>364</v>
      </c>
      <c r="G368">
        <f>1109-714</f>
        <v>395</v>
      </c>
      <c r="H368">
        <v>370.28419734134798</v>
      </c>
      <c r="I368">
        <v>376.148061967221</v>
      </c>
      <c r="J368" s="6">
        <f>(H368-G368)/G368</f>
        <v>-6.2571652300384875E-2</v>
      </c>
      <c r="K368" s="3">
        <f>(I368-G368)/G368</f>
        <v>-4.7726425399440511E-2</v>
      </c>
      <c r="L368" s="6">
        <f>ABS(J368)</f>
        <v>6.2571652300384875E-2</v>
      </c>
      <c r="M368" s="3">
        <f>ABS(K368)</f>
        <v>4.7726425399440511E-2</v>
      </c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</row>
    <row r="369" spans="1:34" x14ac:dyDescent="0.35">
      <c r="A369">
        <v>368</v>
      </c>
      <c r="B369">
        <v>22</v>
      </c>
      <c r="C369">
        <v>78</v>
      </c>
      <c r="D369">
        <v>170</v>
      </c>
      <c r="E369" t="s">
        <v>9</v>
      </c>
      <c r="F369">
        <v>412</v>
      </c>
      <c r="G369">
        <f>1119-711</f>
        <v>408</v>
      </c>
      <c r="H369">
        <v>390.69716508530303</v>
      </c>
      <c r="I369">
        <v>390.99151157000898</v>
      </c>
      <c r="J369" s="6">
        <f>(H369-G369)/G369</f>
        <v>-4.2408909104649443E-2</v>
      </c>
      <c r="K369" s="3">
        <f>(I369-G369)/G369</f>
        <v>-4.1687471642134849E-2</v>
      </c>
      <c r="L369" s="6">
        <f>ABS(J369)</f>
        <v>4.2408909104649443E-2</v>
      </c>
      <c r="M369" s="3">
        <f>ABS(K369)</f>
        <v>4.1687471642134849E-2</v>
      </c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</row>
    <row r="370" spans="1:34" x14ac:dyDescent="0.35">
      <c r="A370">
        <v>369</v>
      </c>
      <c r="B370">
        <v>22</v>
      </c>
      <c r="C370">
        <v>78</v>
      </c>
      <c r="D370">
        <v>170</v>
      </c>
      <c r="E370" t="s">
        <v>9</v>
      </c>
      <c r="F370">
        <v>371</v>
      </c>
      <c r="G370">
        <f>918-552</f>
        <v>366</v>
      </c>
      <c r="H370">
        <v>373.26108847067502</v>
      </c>
      <c r="I370">
        <v>376.054077524533</v>
      </c>
      <c r="J370" s="6">
        <f>(H370-G370)/G370</f>
        <v>1.9839039537363441E-2</v>
      </c>
      <c r="K370" s="3">
        <f>(I370-G370)/G370</f>
        <v>2.747015717085519E-2</v>
      </c>
      <c r="L370" s="6">
        <f>ABS(J370)</f>
        <v>1.9839039537363441E-2</v>
      </c>
      <c r="M370" s="3">
        <f>ABS(K370)</f>
        <v>2.747015717085519E-2</v>
      </c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</row>
    <row r="371" spans="1:34" x14ac:dyDescent="0.35">
      <c r="A371">
        <v>370</v>
      </c>
      <c r="B371">
        <v>22</v>
      </c>
      <c r="C371">
        <v>78</v>
      </c>
      <c r="D371">
        <v>170</v>
      </c>
      <c r="E371" t="s">
        <v>9</v>
      </c>
      <c r="F371">
        <v>397</v>
      </c>
      <c r="G371">
        <f>776-379</f>
        <v>397</v>
      </c>
      <c r="H371">
        <v>384.31811266531702</v>
      </c>
      <c r="I371">
        <v>384.20704783886498</v>
      </c>
      <c r="J371" s="6">
        <f>(H371-G371)/G371</f>
        <v>-3.1944300591141013E-2</v>
      </c>
      <c r="K371" s="3">
        <f>(I371-G371)/G371</f>
        <v>-3.2224060859282165E-2</v>
      </c>
      <c r="L371" s="6">
        <f>ABS(J371)</f>
        <v>3.1944300591141013E-2</v>
      </c>
      <c r="M371" s="3">
        <f>ABS(K371)</f>
        <v>3.2224060859282165E-2</v>
      </c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</row>
    <row r="372" spans="1:34" x14ac:dyDescent="0.35">
      <c r="A372">
        <v>371</v>
      </c>
      <c r="B372">
        <v>22</v>
      </c>
      <c r="C372">
        <v>78</v>
      </c>
      <c r="D372">
        <v>170</v>
      </c>
      <c r="E372" t="s">
        <v>9</v>
      </c>
      <c r="F372">
        <v>429</v>
      </c>
      <c r="G372">
        <f>895-475</f>
        <v>420</v>
      </c>
      <c r="H372">
        <v>397.926757827953</v>
      </c>
      <c r="I372">
        <v>402.34027208884697</v>
      </c>
      <c r="J372" s="6">
        <f>(H372-G372)/G372</f>
        <v>-5.2555338504873816E-2</v>
      </c>
      <c r="K372" s="3">
        <f>(I372-G372)/G372</f>
        <v>-4.2046971217031014E-2</v>
      </c>
      <c r="L372" s="6">
        <f>ABS(J372)</f>
        <v>5.2555338504873816E-2</v>
      </c>
      <c r="M372" s="3">
        <f>ABS(K372)</f>
        <v>4.2046971217031014E-2</v>
      </c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</row>
    <row r="373" spans="1:34" x14ac:dyDescent="0.35">
      <c r="A373">
        <v>372</v>
      </c>
      <c r="B373">
        <v>22</v>
      </c>
      <c r="C373">
        <v>78</v>
      </c>
      <c r="D373">
        <v>170</v>
      </c>
      <c r="E373" t="s">
        <v>9</v>
      </c>
      <c r="F373">
        <v>397</v>
      </c>
      <c r="G373">
        <f>284-0</f>
        <v>284</v>
      </c>
      <c r="H373">
        <v>384.31811266531702</v>
      </c>
      <c r="I373">
        <v>384.20704783886498</v>
      </c>
      <c r="J373" s="6">
        <f>(H373-G373)/G373</f>
        <v>0.35323279107505989</v>
      </c>
      <c r="K373" s="3">
        <f>(I373-G373)/G373</f>
        <v>0.35284171774248235</v>
      </c>
      <c r="L373" s="6">
        <f>ABS(J373)</f>
        <v>0.35323279107505989</v>
      </c>
      <c r="M373" s="3">
        <f>ABS(K373)</f>
        <v>0.35284171774248235</v>
      </c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</row>
    <row r="374" spans="1:34" x14ac:dyDescent="0.35">
      <c r="A374">
        <v>373</v>
      </c>
      <c r="B374">
        <v>22</v>
      </c>
      <c r="C374">
        <v>78</v>
      </c>
      <c r="D374">
        <v>170</v>
      </c>
      <c r="E374" t="s">
        <v>9</v>
      </c>
      <c r="F374">
        <v>397</v>
      </c>
      <c r="G374">
        <f>1181-791</f>
        <v>390</v>
      </c>
      <c r="H374">
        <v>384.31811266531702</v>
      </c>
      <c r="I374">
        <v>384.20704783886498</v>
      </c>
      <c r="J374" s="6">
        <f>(H374-G374)/G374</f>
        <v>-1.4568941883802521E-2</v>
      </c>
      <c r="K374" s="3">
        <f>(I374-G374)/G374</f>
        <v>-1.4853723490089794E-2</v>
      </c>
      <c r="L374" s="6">
        <f>ABS(J374)</f>
        <v>1.4568941883802521E-2</v>
      </c>
      <c r="M374" s="3">
        <f>ABS(K374)</f>
        <v>1.4853723490089794E-2</v>
      </c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</row>
    <row r="375" spans="1:34" x14ac:dyDescent="0.35">
      <c r="A375">
        <v>374</v>
      </c>
      <c r="B375">
        <v>22</v>
      </c>
      <c r="C375">
        <v>78</v>
      </c>
      <c r="D375">
        <v>170</v>
      </c>
      <c r="E375" t="s">
        <v>9</v>
      </c>
      <c r="F375">
        <v>390</v>
      </c>
      <c r="G375">
        <f>411-39</f>
        <v>372</v>
      </c>
      <c r="H375">
        <v>381.34122153598997</v>
      </c>
      <c r="I375">
        <v>381.277319039536</v>
      </c>
      <c r="J375" s="6">
        <f>(H375-G375)/G375</f>
        <v>2.5110810580618207E-2</v>
      </c>
      <c r="K375" s="3">
        <f>(I375-G375)/G375</f>
        <v>2.4939029676172033E-2</v>
      </c>
      <c r="L375" s="6">
        <f>ABS(J375)</f>
        <v>2.5110810580618207E-2</v>
      </c>
      <c r="M375" s="3">
        <f>ABS(K375)</f>
        <v>2.4939029676172033E-2</v>
      </c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</row>
    <row r="376" spans="1:34" x14ac:dyDescent="0.35">
      <c r="A376">
        <v>375</v>
      </c>
      <c r="B376">
        <v>22</v>
      </c>
      <c r="C376">
        <v>78</v>
      </c>
      <c r="D376">
        <v>170</v>
      </c>
      <c r="E376" t="s">
        <v>9</v>
      </c>
      <c r="F376">
        <v>331</v>
      </c>
      <c r="G376">
        <f>544-181</f>
        <v>363</v>
      </c>
      <c r="H376">
        <v>356.25028201737899</v>
      </c>
      <c r="I376">
        <v>393.03347561749302</v>
      </c>
      <c r="J376" s="6">
        <f>(H376-G376)/G376</f>
        <v>-1.8594264414933902E-2</v>
      </c>
      <c r="K376" s="3">
        <f>(I376-G376)/G376</f>
        <v>8.2736847431110261E-2</v>
      </c>
      <c r="L376" s="6">
        <f>ABS(J376)</f>
        <v>1.8594264414933902E-2</v>
      </c>
      <c r="M376" s="3">
        <f>ABS(K376)</f>
        <v>8.2736847431110261E-2</v>
      </c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</row>
    <row r="377" spans="1:34" x14ac:dyDescent="0.35">
      <c r="A377">
        <v>376</v>
      </c>
      <c r="B377">
        <v>22</v>
      </c>
      <c r="C377">
        <v>78</v>
      </c>
      <c r="D377">
        <v>170</v>
      </c>
      <c r="E377" t="s">
        <v>9</v>
      </c>
      <c r="F377">
        <v>413</v>
      </c>
      <c r="G377">
        <f>1640-1221</f>
        <v>419</v>
      </c>
      <c r="H377">
        <v>391.12243524663501</v>
      </c>
      <c r="I377">
        <v>391.473227306642</v>
      </c>
      <c r="J377" s="6">
        <f>(H377-G377)/G377</f>
        <v>-6.6533567430465373E-2</v>
      </c>
      <c r="K377" s="3">
        <f>(I377-G377)/G377</f>
        <v>-6.5696354876749394E-2</v>
      </c>
      <c r="L377" s="6">
        <f>ABS(J377)</f>
        <v>6.6533567430465373E-2</v>
      </c>
      <c r="M377" s="3">
        <f>ABS(K377)</f>
        <v>6.5696354876749394E-2</v>
      </c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</row>
    <row r="378" spans="1:34" x14ac:dyDescent="0.35">
      <c r="A378">
        <v>377</v>
      </c>
      <c r="B378">
        <v>22</v>
      </c>
      <c r="C378">
        <v>78</v>
      </c>
      <c r="D378">
        <v>170</v>
      </c>
      <c r="E378" t="s">
        <v>9</v>
      </c>
      <c r="F378">
        <v>462</v>
      </c>
      <c r="G378">
        <f>742-423</f>
        <v>319</v>
      </c>
      <c r="H378">
        <v>411.96067315192198</v>
      </c>
      <c r="I378">
        <v>428.08588115755498</v>
      </c>
      <c r="J378" s="6">
        <f>(H378-G378)/G378</f>
        <v>0.29141276850132281</v>
      </c>
      <c r="K378" s="3">
        <f>(I378-G378)/G378</f>
        <v>0.34196200989829145</v>
      </c>
      <c r="L378" s="6">
        <f>ABS(J378)</f>
        <v>0.29141276850132281</v>
      </c>
      <c r="M378" s="3">
        <f>ABS(K378)</f>
        <v>0.34196200989829145</v>
      </c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</row>
    <row r="379" spans="1:34" x14ac:dyDescent="0.35">
      <c r="A379">
        <v>378</v>
      </c>
      <c r="B379">
        <v>22</v>
      </c>
      <c r="C379">
        <v>78</v>
      </c>
      <c r="D379">
        <v>170</v>
      </c>
      <c r="E379" t="s">
        <v>9</v>
      </c>
      <c r="F379">
        <v>413</v>
      </c>
      <c r="G379">
        <f>382-0</f>
        <v>382</v>
      </c>
      <c r="H379">
        <v>391.12243524663501</v>
      </c>
      <c r="I379">
        <v>391.473227306642</v>
      </c>
      <c r="J379" s="6">
        <f>(H379-G379)/G379</f>
        <v>2.3880720540929337E-2</v>
      </c>
      <c r="K379" s="3">
        <f>(I379-G379)/G379</f>
        <v>2.479902436293718E-2</v>
      </c>
      <c r="L379" s="6">
        <f>ABS(J379)</f>
        <v>2.3880720540929337E-2</v>
      </c>
      <c r="M379" s="3">
        <f>ABS(K379)</f>
        <v>2.479902436293718E-2</v>
      </c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</row>
    <row r="380" spans="1:34" x14ac:dyDescent="0.35">
      <c r="A380">
        <v>379</v>
      </c>
      <c r="B380">
        <v>22</v>
      </c>
      <c r="C380">
        <v>78</v>
      </c>
      <c r="D380">
        <v>170</v>
      </c>
      <c r="E380" t="s">
        <v>9</v>
      </c>
      <c r="F380">
        <v>332</v>
      </c>
      <c r="G380">
        <f>425-29</f>
        <v>396</v>
      </c>
      <c r="H380">
        <v>356.675552178712</v>
      </c>
      <c r="I380">
        <v>392.17209560604999</v>
      </c>
      <c r="J380" s="6">
        <f>(H380-G380)/G380</f>
        <v>-9.930416116486869E-2</v>
      </c>
      <c r="K380" s="3">
        <f>(I380-G380)/G380</f>
        <v>-9.6664252372474918E-3</v>
      </c>
      <c r="L380" s="6">
        <f>ABS(J380)</f>
        <v>9.930416116486869E-2</v>
      </c>
      <c r="M380" s="3">
        <f>ABS(K380)</f>
        <v>9.6664252372474918E-3</v>
      </c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</row>
    <row r="381" spans="1:34" s="15" customFormat="1" x14ac:dyDescent="0.35">
      <c r="A381" s="15">
        <v>380</v>
      </c>
      <c r="B381" s="15">
        <v>22</v>
      </c>
      <c r="C381" s="15">
        <v>78</v>
      </c>
      <c r="D381" s="15">
        <v>170</v>
      </c>
      <c r="E381" s="15" t="s">
        <v>9</v>
      </c>
      <c r="F381" s="15">
        <v>166</v>
      </c>
      <c r="G381" s="15">
        <f>502-111</f>
        <v>391</v>
      </c>
      <c r="H381" s="15">
        <v>286.08070539753498</v>
      </c>
      <c r="I381" s="15">
        <v>755.653392425535</v>
      </c>
      <c r="N381" s="15" t="s">
        <v>23</v>
      </c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</row>
    <row r="382" spans="1:34" x14ac:dyDescent="0.35">
      <c r="A382">
        <v>381</v>
      </c>
      <c r="B382">
        <v>22</v>
      </c>
      <c r="C382">
        <v>78</v>
      </c>
      <c r="D382">
        <v>170</v>
      </c>
      <c r="E382" t="s">
        <v>9</v>
      </c>
      <c r="F382">
        <v>397</v>
      </c>
      <c r="G382">
        <f>1354-958</f>
        <v>396</v>
      </c>
      <c r="H382">
        <v>384.31811266531702</v>
      </c>
      <c r="I382">
        <v>384.20704783886498</v>
      </c>
      <c r="J382" s="6">
        <f>(H382-G382)/G382</f>
        <v>-2.9499715491623696E-2</v>
      </c>
      <c r="K382" s="3">
        <f>(I382-G382)/G382</f>
        <v>-2.9780182225088433E-2</v>
      </c>
      <c r="L382" s="6">
        <f>ABS(J382)</f>
        <v>2.9499715491623696E-2</v>
      </c>
      <c r="M382" s="3">
        <f>ABS(K382)</f>
        <v>2.9780182225088433E-2</v>
      </c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</row>
    <row r="383" spans="1:34" x14ac:dyDescent="0.35">
      <c r="A383">
        <v>382</v>
      </c>
      <c r="B383">
        <v>22</v>
      </c>
      <c r="C383">
        <v>78</v>
      </c>
      <c r="D383">
        <v>170</v>
      </c>
      <c r="E383" t="s">
        <v>9</v>
      </c>
      <c r="F383">
        <v>412</v>
      </c>
      <c r="G383">
        <f>1193-781</f>
        <v>412</v>
      </c>
      <c r="H383">
        <v>390.69716508530303</v>
      </c>
      <c r="I383">
        <v>390.99151157000898</v>
      </c>
      <c r="J383" s="6">
        <f>(H383-G383)/G383</f>
        <v>-5.1705909987128575E-2</v>
      </c>
      <c r="K383" s="3">
        <f>(I383-G383)/G383</f>
        <v>-5.0991476771822863E-2</v>
      </c>
      <c r="L383" s="6">
        <f>ABS(J383)</f>
        <v>5.1705909987128575E-2</v>
      </c>
      <c r="M383" s="3">
        <f>ABS(K383)</f>
        <v>5.0991476771822863E-2</v>
      </c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</row>
    <row r="384" spans="1:34" x14ac:dyDescent="0.35">
      <c r="A384">
        <v>383</v>
      </c>
      <c r="B384">
        <v>22</v>
      </c>
      <c r="C384">
        <v>78</v>
      </c>
      <c r="D384">
        <v>170</v>
      </c>
      <c r="E384" t="s">
        <v>9</v>
      </c>
      <c r="F384">
        <v>364</v>
      </c>
      <c r="G384">
        <f>717-332</f>
        <v>385</v>
      </c>
      <c r="H384">
        <v>370.28419734134798</v>
      </c>
      <c r="I384">
        <v>376.148061967221</v>
      </c>
      <c r="J384" s="6">
        <f>(H384-G384)/G384</f>
        <v>-3.8222864048446811E-2</v>
      </c>
      <c r="K384" s="3">
        <f>(I384-G384)/G384</f>
        <v>-2.2992046838387022E-2</v>
      </c>
      <c r="L384" s="6">
        <f>ABS(J384)</f>
        <v>3.8222864048446811E-2</v>
      </c>
      <c r="M384" s="3">
        <f>ABS(K384)</f>
        <v>2.2992046838387022E-2</v>
      </c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</row>
    <row r="385" spans="1:34" x14ac:dyDescent="0.35">
      <c r="A385">
        <v>384</v>
      </c>
      <c r="B385">
        <v>22</v>
      </c>
      <c r="C385">
        <v>78</v>
      </c>
      <c r="D385">
        <v>170</v>
      </c>
      <c r="E385" t="s">
        <v>9</v>
      </c>
      <c r="F385">
        <v>397</v>
      </c>
      <c r="G385">
        <f>1314-958</f>
        <v>356</v>
      </c>
      <c r="H385">
        <v>384.31811266531702</v>
      </c>
      <c r="I385">
        <v>384.20704783886498</v>
      </c>
      <c r="J385" s="6">
        <f>(H385-G385)/G385</f>
        <v>7.9545260295834322E-2</v>
      </c>
      <c r="K385" s="3">
        <f>(I385-G385)/G385</f>
        <v>7.9233280446249943E-2</v>
      </c>
      <c r="L385" s="6">
        <f>ABS(J385)</f>
        <v>7.9545260295834322E-2</v>
      </c>
      <c r="M385" s="3">
        <f>ABS(K385)</f>
        <v>7.9233280446249943E-2</v>
      </c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</row>
    <row r="386" spans="1:34" x14ac:dyDescent="0.35">
      <c r="A386">
        <v>385</v>
      </c>
      <c r="B386">
        <v>22</v>
      </c>
      <c r="C386">
        <v>78</v>
      </c>
      <c r="D386">
        <v>170</v>
      </c>
      <c r="E386" t="s">
        <v>9</v>
      </c>
      <c r="F386">
        <v>399</v>
      </c>
      <c r="G386">
        <f>781-379</f>
        <v>402</v>
      </c>
      <c r="H386">
        <v>385.168652987982</v>
      </c>
      <c r="I386">
        <v>385.068537446704</v>
      </c>
      <c r="J386" s="6">
        <f>(H386-G386)/G386</f>
        <v>-4.1869022417955225E-2</v>
      </c>
      <c r="K386" s="3">
        <f>(I386-G386)/G386</f>
        <v>-4.2118066052975127E-2</v>
      </c>
      <c r="L386" s="6">
        <f>ABS(J386)</f>
        <v>4.1869022417955225E-2</v>
      </c>
      <c r="M386" s="3">
        <f>ABS(K386)</f>
        <v>4.2118066052975127E-2</v>
      </c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</row>
    <row r="387" spans="1:34" x14ac:dyDescent="0.35">
      <c r="A387">
        <v>386</v>
      </c>
      <c r="B387">
        <v>22</v>
      </c>
      <c r="C387">
        <v>78</v>
      </c>
      <c r="D387">
        <v>170</v>
      </c>
      <c r="E387" t="s">
        <v>9</v>
      </c>
      <c r="F387">
        <v>380</v>
      </c>
      <c r="G387">
        <f>450-94</f>
        <v>356</v>
      </c>
      <c r="H387">
        <v>377.08851992266602</v>
      </c>
      <c r="I387">
        <v>377.70729131353198</v>
      </c>
      <c r="J387" s="6">
        <f>(H387-G387)/G387</f>
        <v>5.9237415513106809E-2</v>
      </c>
      <c r="K387" s="3">
        <f>(I387-G387)/G387</f>
        <v>6.0975537397561751E-2</v>
      </c>
      <c r="L387" s="6">
        <f>ABS(J387)</f>
        <v>5.9237415513106809E-2</v>
      </c>
      <c r="M387" s="3">
        <f>ABS(K387)</f>
        <v>6.0975537397561751E-2</v>
      </c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</row>
    <row r="388" spans="1:34" x14ac:dyDescent="0.35">
      <c r="A388">
        <v>387</v>
      </c>
      <c r="B388">
        <v>22</v>
      </c>
      <c r="C388">
        <v>78</v>
      </c>
      <c r="D388">
        <v>170</v>
      </c>
      <c r="E388" t="s">
        <v>9</v>
      </c>
      <c r="F388">
        <v>397</v>
      </c>
      <c r="G388">
        <f>446-37</f>
        <v>409</v>
      </c>
      <c r="H388">
        <v>384.31811266531702</v>
      </c>
      <c r="I388">
        <v>384.20704783886498</v>
      </c>
      <c r="J388" s="6">
        <f>(H388-G388)/G388</f>
        <v>-6.0346912798735899E-2</v>
      </c>
      <c r="K388" s="3">
        <f>(I388-G388)/G388</f>
        <v>-6.0618464941650414E-2</v>
      </c>
      <c r="L388" s="6">
        <f>ABS(J388)</f>
        <v>6.0346912798735899E-2</v>
      </c>
      <c r="M388" s="3">
        <f>ABS(K388)</f>
        <v>6.0618464941650414E-2</v>
      </c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</row>
    <row r="389" spans="1:34" x14ac:dyDescent="0.35">
      <c r="A389">
        <v>388</v>
      </c>
      <c r="B389">
        <v>22</v>
      </c>
      <c r="C389">
        <v>78</v>
      </c>
      <c r="D389">
        <v>170</v>
      </c>
      <c r="E389" t="s">
        <v>9</v>
      </c>
      <c r="F389">
        <v>396</v>
      </c>
      <c r="G389">
        <f>577-218</f>
        <v>359</v>
      </c>
      <c r="H389">
        <v>383.89284250398401</v>
      </c>
      <c r="I389">
        <v>383.77630303494601</v>
      </c>
      <c r="J389" s="6">
        <f>(H389-G389)/G389</f>
        <v>6.9339394161515355E-2</v>
      </c>
      <c r="K389" s="3">
        <f>(I389-G389)/G389</f>
        <v>6.9014771685086379E-2</v>
      </c>
      <c r="L389" s="6">
        <f>ABS(J389)</f>
        <v>6.9339394161515355E-2</v>
      </c>
      <c r="M389" s="3">
        <f>ABS(K389)</f>
        <v>6.9014771685086379E-2</v>
      </c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</row>
    <row r="390" spans="1:34" x14ac:dyDescent="0.35">
      <c r="A390">
        <v>389</v>
      </c>
      <c r="B390">
        <v>22</v>
      </c>
      <c r="C390">
        <v>78</v>
      </c>
      <c r="D390">
        <v>170</v>
      </c>
      <c r="E390" t="s">
        <v>9</v>
      </c>
      <c r="F390">
        <v>381</v>
      </c>
      <c r="G390">
        <f>295-0</f>
        <v>295</v>
      </c>
      <c r="H390">
        <v>377.51379008399903</v>
      </c>
      <c r="I390">
        <v>378.06429408613297</v>
      </c>
      <c r="J390" s="6">
        <f>(H390-G390)/G390</f>
        <v>0.27970776299660688</v>
      </c>
      <c r="K390" s="3">
        <f>(I390-G390)/G390</f>
        <v>0.28157387825807789</v>
      </c>
      <c r="L390" s="6">
        <f>ABS(J390)</f>
        <v>0.27970776299660688</v>
      </c>
      <c r="M390" s="3">
        <f>ABS(K390)</f>
        <v>0.28157387825807789</v>
      </c>
      <c r="O390" s="20"/>
      <c r="P390" s="20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</row>
    <row r="391" spans="1:34" x14ac:dyDescent="0.35">
      <c r="A391">
        <v>390</v>
      </c>
      <c r="B391">
        <v>22</v>
      </c>
      <c r="C391">
        <v>78</v>
      </c>
      <c r="D391">
        <v>170</v>
      </c>
      <c r="E391" t="s">
        <v>9</v>
      </c>
      <c r="F391">
        <v>362</v>
      </c>
      <c r="G391">
        <f>580-202</f>
        <v>378</v>
      </c>
      <c r="H391">
        <v>369.43365701868299</v>
      </c>
      <c r="I391">
        <v>376.40768902803302</v>
      </c>
      <c r="J391" s="6">
        <f>(H391-G391)/G391</f>
        <v>-2.266228301935716E-2</v>
      </c>
      <c r="K391" s="3">
        <f>(I391-G391)/G391</f>
        <v>-4.2124628888015369E-3</v>
      </c>
      <c r="L391" s="6">
        <f>ABS(J391)</f>
        <v>2.266228301935716E-2</v>
      </c>
      <c r="M391" s="3">
        <f>ABS(K391)</f>
        <v>4.2124628888015369E-3</v>
      </c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</row>
    <row r="392" spans="1:34" x14ac:dyDescent="0.35">
      <c r="A392">
        <v>391</v>
      </c>
      <c r="B392">
        <v>22</v>
      </c>
      <c r="C392">
        <v>78</v>
      </c>
      <c r="D392">
        <v>170</v>
      </c>
      <c r="E392" t="s">
        <v>9</v>
      </c>
      <c r="F392">
        <v>380</v>
      </c>
      <c r="G392">
        <f>610-241</f>
        <v>369</v>
      </c>
      <c r="H392">
        <v>377.08851992266602</v>
      </c>
      <c r="I392">
        <v>377.70729131353198</v>
      </c>
      <c r="J392" s="6">
        <f>(H392-G392)/G392</f>
        <v>2.1920108191506839E-2</v>
      </c>
      <c r="K392" s="3">
        <f>(I392-G392)/G392</f>
        <v>2.3596995429625969E-2</v>
      </c>
      <c r="L392" s="6">
        <f>ABS(J392)</f>
        <v>2.1920108191506839E-2</v>
      </c>
      <c r="M392" s="3">
        <f>ABS(K392)</f>
        <v>2.3596995429625969E-2</v>
      </c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</row>
    <row r="393" spans="1:34" x14ac:dyDescent="0.35">
      <c r="A393">
        <v>392</v>
      </c>
      <c r="B393">
        <v>22</v>
      </c>
      <c r="C393">
        <v>78</v>
      </c>
      <c r="D393">
        <v>170</v>
      </c>
      <c r="E393" t="s">
        <v>9</v>
      </c>
      <c r="F393">
        <v>381</v>
      </c>
      <c r="G393">
        <f>1360-1023</f>
        <v>337</v>
      </c>
      <c r="H393">
        <v>377.51379008399903</v>
      </c>
      <c r="I393">
        <v>378.06429408613297</v>
      </c>
      <c r="J393" s="6">
        <f>(H393-G393)/G393</f>
        <v>0.12021896167358762</v>
      </c>
      <c r="K393" s="3">
        <f>(I393-G393)/G393</f>
        <v>0.12185250470662604</v>
      </c>
      <c r="L393" s="6">
        <f>ABS(J393)</f>
        <v>0.12021896167358762</v>
      </c>
      <c r="M393" s="3">
        <f>ABS(K393)</f>
        <v>0.12185250470662604</v>
      </c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</row>
    <row r="394" spans="1:34" x14ac:dyDescent="0.35">
      <c r="A394">
        <v>393</v>
      </c>
      <c r="B394">
        <v>22</v>
      </c>
      <c r="C394">
        <v>78</v>
      </c>
      <c r="D394">
        <v>170</v>
      </c>
      <c r="E394" t="s">
        <v>9</v>
      </c>
      <c r="F394">
        <v>396</v>
      </c>
      <c r="G394">
        <f>997-592</f>
        <v>405</v>
      </c>
      <c r="H394">
        <v>383.89284250398401</v>
      </c>
      <c r="I394">
        <v>383.77630303494601</v>
      </c>
      <c r="J394" s="6">
        <f>(H394-G394)/G394</f>
        <v>-5.2116438261767865E-2</v>
      </c>
      <c r="K394" s="3">
        <f>(I394-G394)/G394</f>
        <v>-5.2404190037170346E-2</v>
      </c>
      <c r="L394" s="6">
        <f>ABS(J394)</f>
        <v>5.2116438261767865E-2</v>
      </c>
      <c r="M394" s="3">
        <f>ABS(K394)</f>
        <v>5.2404190037170346E-2</v>
      </c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</row>
    <row r="395" spans="1:34" x14ac:dyDescent="0.35">
      <c r="A395">
        <v>394</v>
      </c>
      <c r="B395">
        <v>22</v>
      </c>
      <c r="C395">
        <v>78</v>
      </c>
      <c r="D395">
        <v>170</v>
      </c>
      <c r="E395" t="s">
        <v>9</v>
      </c>
      <c r="F395">
        <v>346</v>
      </c>
      <c r="G395">
        <f>1469-1084</f>
        <v>385</v>
      </c>
      <c r="H395">
        <v>362.629334437365</v>
      </c>
      <c r="I395">
        <v>381.85695871825999</v>
      </c>
      <c r="J395" s="6">
        <f>(H395-G395)/G395</f>
        <v>-5.810562483801298E-2</v>
      </c>
      <c r="K395" s="3">
        <f>(I395-G395)/G395</f>
        <v>-8.1637435889350945E-3</v>
      </c>
      <c r="L395" s="6">
        <f>ABS(J395)</f>
        <v>5.810562483801298E-2</v>
      </c>
      <c r="M395" s="3">
        <f>ABS(K395)</f>
        <v>8.1637435889350945E-3</v>
      </c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</row>
    <row r="396" spans="1:34" x14ac:dyDescent="0.35">
      <c r="A396">
        <v>395</v>
      </c>
      <c r="B396">
        <v>22</v>
      </c>
      <c r="C396">
        <v>78</v>
      </c>
      <c r="D396">
        <v>170</v>
      </c>
      <c r="E396" t="s">
        <v>9</v>
      </c>
      <c r="F396">
        <v>381</v>
      </c>
      <c r="G396">
        <f>493-90</f>
        <v>403</v>
      </c>
      <c r="H396">
        <v>377.51379008399903</v>
      </c>
      <c r="I396">
        <v>378.06429408613297</v>
      </c>
      <c r="J396" s="6">
        <f>(H396-G396)/G396</f>
        <v>-6.3241215672458995E-2</v>
      </c>
      <c r="K396" s="3">
        <f>(I396-G396)/G396</f>
        <v>-6.1875200778826363E-2</v>
      </c>
      <c r="L396" s="6">
        <f>ABS(J396)</f>
        <v>6.3241215672458995E-2</v>
      </c>
      <c r="M396" s="3">
        <f>ABS(K396)</f>
        <v>6.1875200778826363E-2</v>
      </c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</row>
    <row r="397" spans="1:34" x14ac:dyDescent="0.35">
      <c r="A397">
        <v>396</v>
      </c>
      <c r="B397">
        <v>22</v>
      </c>
      <c r="C397">
        <v>78</v>
      </c>
      <c r="D397">
        <v>170</v>
      </c>
      <c r="E397" t="s">
        <v>9</v>
      </c>
      <c r="F397">
        <v>396</v>
      </c>
      <c r="G397">
        <f>643-234</f>
        <v>409</v>
      </c>
      <c r="H397">
        <v>383.89284250398401</v>
      </c>
      <c r="I397">
        <v>383.77630303494601</v>
      </c>
      <c r="J397" s="6">
        <f>(H397-G397)/G397</f>
        <v>-6.1386693144293368E-2</v>
      </c>
      <c r="K397" s="3">
        <f>(I397-G397)/G397</f>
        <v>-6.1671630721403393E-2</v>
      </c>
      <c r="L397" s="6">
        <f>ABS(J397)</f>
        <v>6.1386693144293368E-2</v>
      </c>
      <c r="M397" s="3">
        <f>ABS(K397)</f>
        <v>6.1671630721403393E-2</v>
      </c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</row>
    <row r="398" spans="1:34" x14ac:dyDescent="0.35">
      <c r="A398">
        <v>397</v>
      </c>
      <c r="B398">
        <v>22</v>
      </c>
      <c r="C398">
        <v>78</v>
      </c>
      <c r="D398">
        <v>170</v>
      </c>
      <c r="E398" t="s">
        <v>9</v>
      </c>
      <c r="F398">
        <v>380</v>
      </c>
      <c r="G398">
        <f>296-0</f>
        <v>296</v>
      </c>
      <c r="H398">
        <v>377.08851992266602</v>
      </c>
      <c r="I398">
        <v>377.70729131353198</v>
      </c>
      <c r="J398" s="6">
        <f>(H398-G398)/G398</f>
        <v>0.27394770244143929</v>
      </c>
      <c r="K398" s="3">
        <f>(I398-G398)/G398</f>
        <v>0.27603814632949997</v>
      </c>
      <c r="L398" s="6">
        <f>ABS(J398)</f>
        <v>0.27394770244143929</v>
      </c>
      <c r="M398" s="3">
        <f>ABS(K398)</f>
        <v>0.27603814632949997</v>
      </c>
      <c r="O398" s="20"/>
      <c r="P398" s="20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</row>
    <row r="399" spans="1:34" x14ac:dyDescent="0.35">
      <c r="A399">
        <v>398</v>
      </c>
      <c r="B399">
        <v>22</v>
      </c>
      <c r="C399">
        <v>78</v>
      </c>
      <c r="D399">
        <v>170</v>
      </c>
      <c r="E399" t="s">
        <v>9</v>
      </c>
      <c r="F399">
        <v>413</v>
      </c>
      <c r="G399">
        <f>1308-954</f>
        <v>354</v>
      </c>
      <c r="H399">
        <v>391.12243524663501</v>
      </c>
      <c r="I399">
        <v>391.473227306642</v>
      </c>
      <c r="J399" s="6">
        <f>(H399-G399)/G399</f>
        <v>0.1048656362899294</v>
      </c>
      <c r="K399" s="3">
        <f>(I399-G399)/G399</f>
        <v>0.10585657431254802</v>
      </c>
      <c r="L399" s="6">
        <f>ABS(J399)</f>
        <v>0.1048656362899294</v>
      </c>
      <c r="M399" s="3">
        <f>ABS(K399)</f>
        <v>0.10585657431254802</v>
      </c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</row>
    <row r="400" spans="1:34" x14ac:dyDescent="0.35">
      <c r="A400">
        <v>399</v>
      </c>
      <c r="B400">
        <v>22</v>
      </c>
      <c r="C400">
        <v>78</v>
      </c>
      <c r="D400">
        <v>170</v>
      </c>
      <c r="E400" t="s">
        <v>9</v>
      </c>
      <c r="F400">
        <v>395</v>
      </c>
      <c r="G400">
        <f>408-15</f>
        <v>393</v>
      </c>
      <c r="H400">
        <v>383.46757234265198</v>
      </c>
      <c r="I400">
        <v>383.34555823102602</v>
      </c>
      <c r="J400" s="6">
        <f>(H400-G400)/G400</f>
        <v>-2.4255541112844843E-2</v>
      </c>
      <c r="K400" s="3">
        <f>(I400-G400)/G400</f>
        <v>-2.4566009590264584E-2</v>
      </c>
      <c r="L400" s="6">
        <f>ABS(J400)</f>
        <v>2.4255541112844843E-2</v>
      </c>
      <c r="M400" s="3">
        <f>ABS(K400)</f>
        <v>2.4566009590264584E-2</v>
      </c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</row>
    <row r="401" spans="1:34" x14ac:dyDescent="0.35">
      <c r="A401">
        <v>400</v>
      </c>
      <c r="B401">
        <v>22</v>
      </c>
      <c r="C401">
        <v>78</v>
      </c>
      <c r="D401">
        <v>170</v>
      </c>
      <c r="E401" t="s">
        <v>9</v>
      </c>
      <c r="F401">
        <v>396</v>
      </c>
      <c r="G401">
        <f>598-226</f>
        <v>372</v>
      </c>
      <c r="H401">
        <v>383.89284250398401</v>
      </c>
      <c r="I401">
        <v>383.77630303494601</v>
      </c>
      <c r="J401" s="6">
        <f>(H401-G401)/G401</f>
        <v>3.1970006731139824E-2</v>
      </c>
      <c r="K401" s="3">
        <f>(I401-G401)/G401</f>
        <v>3.1656728588564546E-2</v>
      </c>
      <c r="L401" s="6">
        <f>ABS(J401)</f>
        <v>3.1970006731139824E-2</v>
      </c>
      <c r="M401" s="3">
        <f>ABS(K401)</f>
        <v>3.1656728588564546E-2</v>
      </c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</row>
    <row r="402" spans="1:34" x14ac:dyDescent="0.35">
      <c r="A402">
        <v>401</v>
      </c>
      <c r="B402">
        <v>22</v>
      </c>
      <c r="C402">
        <v>78</v>
      </c>
      <c r="D402">
        <v>170</v>
      </c>
      <c r="E402" t="s">
        <v>9</v>
      </c>
      <c r="F402">
        <v>430</v>
      </c>
      <c r="G402">
        <f>877-474</f>
        <v>403</v>
      </c>
      <c r="H402">
        <v>398.352027989286</v>
      </c>
      <c r="I402">
        <v>403.02150811420802</v>
      </c>
      <c r="J402" s="6">
        <f>(H402-G402)/G402</f>
        <v>-1.153342930698263E-2</v>
      </c>
      <c r="K402" s="3">
        <f>(I402-G402)/G402</f>
        <v>5.3370010441732046E-5</v>
      </c>
      <c r="L402" s="6">
        <f>ABS(J402)</f>
        <v>1.153342930698263E-2</v>
      </c>
      <c r="M402" s="3">
        <f>ABS(K402)</f>
        <v>5.3370010441732046E-5</v>
      </c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</row>
    <row r="403" spans="1:34" x14ac:dyDescent="0.35">
      <c r="A403">
        <v>402</v>
      </c>
      <c r="B403">
        <v>22</v>
      </c>
      <c r="C403">
        <v>78</v>
      </c>
      <c r="D403">
        <v>170</v>
      </c>
      <c r="E403" t="s">
        <v>9</v>
      </c>
      <c r="F403">
        <v>384</v>
      </c>
      <c r="G403">
        <f>628-266</f>
        <v>362</v>
      </c>
      <c r="H403">
        <v>378.78960056799599</v>
      </c>
      <c r="I403">
        <v>379.13530240393402</v>
      </c>
      <c r="J403" s="6">
        <f>(H403-G403)/G403</f>
        <v>4.6380112066287262E-2</v>
      </c>
      <c r="K403" s="3">
        <f>(I403-G403)/G403</f>
        <v>4.7335089513629892E-2</v>
      </c>
      <c r="L403" s="6">
        <f>ABS(J403)</f>
        <v>4.6380112066287262E-2</v>
      </c>
      <c r="M403" s="3">
        <f>ABS(K403)</f>
        <v>4.7335089513629892E-2</v>
      </c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</row>
    <row r="404" spans="1:34" x14ac:dyDescent="0.35">
      <c r="A404">
        <v>403</v>
      </c>
      <c r="B404">
        <v>22</v>
      </c>
      <c r="C404">
        <v>78</v>
      </c>
      <c r="D404">
        <v>170</v>
      </c>
      <c r="E404" t="s">
        <v>9</v>
      </c>
      <c r="F404">
        <v>400</v>
      </c>
      <c r="G404">
        <f>1052-639</f>
        <v>413</v>
      </c>
      <c r="H404">
        <v>385.59392314931398</v>
      </c>
      <c r="I404">
        <v>385.49928225062303</v>
      </c>
      <c r="J404" s="6">
        <f>(H404-G404)/G404</f>
        <v>-6.635853959003879E-2</v>
      </c>
      <c r="K404" s="3">
        <f>(I404-G404)/G404</f>
        <v>-6.6587694308418821E-2</v>
      </c>
      <c r="L404" s="6">
        <f>ABS(J404)</f>
        <v>6.635853959003879E-2</v>
      </c>
      <c r="M404" s="3">
        <f>ABS(K404)</f>
        <v>6.6587694308418821E-2</v>
      </c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</row>
    <row r="405" spans="1:34" x14ac:dyDescent="0.35">
      <c r="A405">
        <v>404</v>
      </c>
      <c r="B405">
        <v>22</v>
      </c>
      <c r="C405">
        <v>78</v>
      </c>
      <c r="D405">
        <v>170</v>
      </c>
      <c r="E405" t="s">
        <v>9</v>
      </c>
      <c r="F405">
        <v>417</v>
      </c>
      <c r="G405">
        <f>603-192</f>
        <v>411</v>
      </c>
      <c r="H405">
        <v>392.82351589196497</v>
      </c>
      <c r="I405">
        <v>394.16543978451102</v>
      </c>
      <c r="J405" s="6">
        <f>(H405-G405)/G405</f>
        <v>-4.4225022160669161E-2</v>
      </c>
      <c r="K405" s="3">
        <f>(I405-G405)/G405</f>
        <v>-4.0960000524304083E-2</v>
      </c>
      <c r="L405" s="6">
        <f>ABS(J405)</f>
        <v>4.4225022160669161E-2</v>
      </c>
      <c r="M405" s="3">
        <f>ABS(K405)</f>
        <v>4.0960000524304083E-2</v>
      </c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</row>
    <row r="406" spans="1:34" x14ac:dyDescent="0.35">
      <c r="A406">
        <v>405</v>
      </c>
      <c r="B406">
        <v>22</v>
      </c>
      <c r="C406">
        <v>78</v>
      </c>
      <c r="D406">
        <v>170</v>
      </c>
      <c r="E406" t="s">
        <v>9</v>
      </c>
      <c r="F406">
        <v>418</v>
      </c>
      <c r="G406">
        <f>875-487</f>
        <v>388</v>
      </c>
      <c r="H406">
        <v>393.24878605329701</v>
      </c>
      <c r="I406">
        <v>394.84667580987201</v>
      </c>
      <c r="J406" s="6">
        <f>(H406-G406)/G406</f>
        <v>1.3527799106435593E-2</v>
      </c>
      <c r="K406" s="3">
        <f>(I406-G406)/G406</f>
        <v>1.7646071674927863E-2</v>
      </c>
      <c r="L406" s="6">
        <f>ABS(J406)</f>
        <v>1.3527799106435593E-2</v>
      </c>
      <c r="M406" s="3">
        <f>ABS(K406)</f>
        <v>1.7646071674927863E-2</v>
      </c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</row>
    <row r="407" spans="1:34" x14ac:dyDescent="0.35">
      <c r="A407">
        <v>406</v>
      </c>
      <c r="B407">
        <v>22</v>
      </c>
      <c r="C407">
        <v>78</v>
      </c>
      <c r="D407">
        <v>170</v>
      </c>
      <c r="E407" t="s">
        <v>9</v>
      </c>
      <c r="F407">
        <v>382</v>
      </c>
      <c r="G407">
        <f>1042-688</f>
        <v>354</v>
      </c>
      <c r="H407">
        <v>377.93906024533101</v>
      </c>
      <c r="I407">
        <v>378.421296858733</v>
      </c>
      <c r="J407" s="6">
        <f>(H407-G407)/G407</f>
        <v>6.7624463969861603E-2</v>
      </c>
      <c r="K407" s="3">
        <f>(I407-G407)/G407</f>
        <v>6.8986714290206211E-2</v>
      </c>
      <c r="L407" s="6">
        <f>ABS(J407)</f>
        <v>6.7624463969861603E-2</v>
      </c>
      <c r="M407" s="3">
        <f>ABS(K407)</f>
        <v>6.8986714290206211E-2</v>
      </c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</row>
    <row r="408" spans="1:34" x14ac:dyDescent="0.35">
      <c r="A408">
        <v>407</v>
      </c>
      <c r="B408">
        <v>22</v>
      </c>
      <c r="C408">
        <v>78</v>
      </c>
      <c r="D408">
        <v>170</v>
      </c>
      <c r="E408" t="s">
        <v>9</v>
      </c>
      <c r="F408">
        <v>380</v>
      </c>
      <c r="G408">
        <f>731-389</f>
        <v>342</v>
      </c>
      <c r="H408">
        <v>377.08851992266602</v>
      </c>
      <c r="I408">
        <v>377.70729131353198</v>
      </c>
      <c r="J408" s="6">
        <f>(H408-G408)/G408</f>
        <v>0.1025980114697837</v>
      </c>
      <c r="K408" s="3">
        <f>(I408-G408)/G408</f>
        <v>0.10440728454249118</v>
      </c>
      <c r="L408" s="6">
        <f>ABS(J408)</f>
        <v>0.1025980114697837</v>
      </c>
      <c r="M408" s="3">
        <f>ABS(K408)</f>
        <v>0.10440728454249118</v>
      </c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</row>
    <row r="409" spans="1:34" x14ac:dyDescent="0.35">
      <c r="A409">
        <v>408</v>
      </c>
      <c r="B409">
        <v>22</v>
      </c>
      <c r="C409">
        <v>78</v>
      </c>
      <c r="D409">
        <v>170</v>
      </c>
      <c r="E409" t="s">
        <v>9</v>
      </c>
      <c r="F409">
        <v>367</v>
      </c>
      <c r="G409">
        <f>1677-1277</f>
        <v>400</v>
      </c>
      <c r="H409">
        <v>371.560007825345</v>
      </c>
      <c r="I409">
        <v>375.99591536685898</v>
      </c>
      <c r="J409" s="6">
        <f>(H409-G409)/G409</f>
        <v>-7.1099980436637511E-2</v>
      </c>
      <c r="K409" s="3">
        <f>(I409-G409)/G409</f>
        <v>-6.0010211582852552E-2</v>
      </c>
      <c r="L409" s="6">
        <f>ABS(J409)</f>
        <v>7.1099980436637511E-2</v>
      </c>
      <c r="M409" s="3">
        <f>ABS(K409)</f>
        <v>6.0010211582852552E-2</v>
      </c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</row>
    <row r="410" spans="1:34" x14ac:dyDescent="0.35">
      <c r="A410">
        <v>409</v>
      </c>
      <c r="B410">
        <v>22</v>
      </c>
      <c r="C410">
        <v>78</v>
      </c>
      <c r="D410">
        <v>170</v>
      </c>
      <c r="E410" t="s">
        <v>9</v>
      </c>
      <c r="F410">
        <v>397</v>
      </c>
      <c r="G410">
        <f>1363-977</f>
        <v>386</v>
      </c>
      <c r="H410">
        <v>384.31811266531702</v>
      </c>
      <c r="I410">
        <v>384.20704783886498</v>
      </c>
      <c r="J410" s="6">
        <f>(H410-G410)/G410</f>
        <v>-4.3572210743082467E-3</v>
      </c>
      <c r="K410" s="3">
        <f>(I410-G410)/G410</f>
        <v>-4.6449537853238852E-3</v>
      </c>
      <c r="L410" s="6">
        <f>ABS(J410)</f>
        <v>4.3572210743082467E-3</v>
      </c>
      <c r="M410" s="3">
        <f>ABS(K410)</f>
        <v>4.6449537853238852E-3</v>
      </c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</row>
    <row r="411" spans="1:34" x14ac:dyDescent="0.35">
      <c r="A411">
        <v>410</v>
      </c>
      <c r="B411">
        <v>22</v>
      </c>
      <c r="C411">
        <v>78</v>
      </c>
      <c r="D411">
        <v>170</v>
      </c>
      <c r="E411" t="s">
        <v>9</v>
      </c>
      <c r="F411">
        <v>415</v>
      </c>
      <c r="G411">
        <f>581-160</f>
        <v>421</v>
      </c>
      <c r="H411">
        <v>391.97297556929999</v>
      </c>
      <c r="I411">
        <v>392.80296773378802</v>
      </c>
      <c r="J411" s="6">
        <f>(H411-G411)/G411</f>
        <v>-6.8947801498099787E-2</v>
      </c>
      <c r="K411" s="3">
        <f>(I411-G411)/G411</f>
        <v>-6.6976323672712529E-2</v>
      </c>
      <c r="L411" s="6">
        <f>ABS(J411)</f>
        <v>6.8947801498099787E-2</v>
      </c>
      <c r="M411" s="3">
        <f>ABS(K411)</f>
        <v>6.6976323672712529E-2</v>
      </c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</row>
    <row r="412" spans="1:34" x14ac:dyDescent="0.35">
      <c r="A412">
        <v>411</v>
      </c>
      <c r="B412">
        <v>22</v>
      </c>
      <c r="C412">
        <v>78</v>
      </c>
      <c r="D412">
        <v>170</v>
      </c>
      <c r="E412" t="s">
        <v>9</v>
      </c>
      <c r="F412">
        <v>449</v>
      </c>
      <c r="G412">
        <f>936-604</f>
        <v>332</v>
      </c>
      <c r="H412">
        <v>406.43216105460101</v>
      </c>
      <c r="I412">
        <v>416.51751211060002</v>
      </c>
      <c r="J412" s="6">
        <f>(H412-G412)/G412</f>
        <v>0.22419325618855726</v>
      </c>
      <c r="K412" s="3">
        <f>(I412-G412)/G412</f>
        <v>0.25457081961024103</v>
      </c>
      <c r="L412" s="6">
        <f>ABS(J412)</f>
        <v>0.22419325618855726</v>
      </c>
      <c r="M412" s="3">
        <f>ABS(K412)</f>
        <v>0.25457081961024103</v>
      </c>
      <c r="O412" s="20"/>
      <c r="P412" s="20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</row>
    <row r="413" spans="1:34" x14ac:dyDescent="0.35">
      <c r="A413">
        <v>412</v>
      </c>
      <c r="B413">
        <v>22</v>
      </c>
      <c r="C413">
        <v>78</v>
      </c>
      <c r="D413">
        <v>170</v>
      </c>
      <c r="E413" t="s">
        <v>9</v>
      </c>
      <c r="F413">
        <v>348</v>
      </c>
      <c r="G413">
        <f>835-485</f>
        <v>350</v>
      </c>
      <c r="H413">
        <v>363.47987476002999</v>
      </c>
      <c r="I413">
        <v>380.82727452775299</v>
      </c>
      <c r="J413" s="6">
        <f>(H413-G413)/G413</f>
        <v>3.8513927885799958E-2</v>
      </c>
      <c r="K413" s="3">
        <f>(I413-G413)/G413</f>
        <v>8.8077927222151409E-2</v>
      </c>
      <c r="L413" s="6">
        <f>ABS(J413)</f>
        <v>3.8513927885799958E-2</v>
      </c>
      <c r="M413" s="3">
        <f>ABS(K413)</f>
        <v>8.8077927222151409E-2</v>
      </c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</row>
    <row r="414" spans="1:34" x14ac:dyDescent="0.35">
      <c r="A414">
        <v>413</v>
      </c>
      <c r="B414">
        <v>22</v>
      </c>
      <c r="C414">
        <v>78</v>
      </c>
      <c r="D414">
        <v>170</v>
      </c>
      <c r="E414" t="s">
        <v>9</v>
      </c>
      <c r="F414">
        <v>415</v>
      </c>
      <c r="G414">
        <f>703-305</f>
        <v>398</v>
      </c>
      <c r="H414">
        <v>391.97297556929999</v>
      </c>
      <c r="I414">
        <v>392.80296773378802</v>
      </c>
      <c r="J414" s="6">
        <f>(H414-G414)/G414</f>
        <v>-1.5143277464070376E-2</v>
      </c>
      <c r="K414" s="3">
        <f>(I414-G414)/G414</f>
        <v>-1.3057870015607983E-2</v>
      </c>
      <c r="L414" s="6">
        <f>ABS(J414)</f>
        <v>1.5143277464070376E-2</v>
      </c>
      <c r="M414" s="3">
        <f>ABS(K414)</f>
        <v>1.3057870015607983E-2</v>
      </c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</row>
    <row r="415" spans="1:34" x14ac:dyDescent="0.35">
      <c r="A415">
        <v>414</v>
      </c>
      <c r="B415">
        <v>22</v>
      </c>
      <c r="C415">
        <v>78</v>
      </c>
      <c r="D415">
        <v>170</v>
      </c>
      <c r="E415" t="s">
        <v>9</v>
      </c>
      <c r="F415">
        <v>398</v>
      </c>
      <c r="G415">
        <f>2088-1729</f>
        <v>359</v>
      </c>
      <c r="H415">
        <v>384.743382826649</v>
      </c>
      <c r="I415">
        <v>384.63779264278401</v>
      </c>
      <c r="J415" s="6">
        <f>(H415-G415)/G415</f>
        <v>7.1708587260860712E-2</v>
      </c>
      <c r="K415" s="3">
        <f>(I415-G415)/G415</f>
        <v>7.1414464186027871E-2</v>
      </c>
      <c r="L415" s="6">
        <f>ABS(J415)</f>
        <v>7.1708587260860712E-2</v>
      </c>
      <c r="M415" s="3">
        <f>ABS(K415)</f>
        <v>7.1414464186027871E-2</v>
      </c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</row>
    <row r="416" spans="1:34" x14ac:dyDescent="0.35">
      <c r="A416">
        <v>415</v>
      </c>
      <c r="B416">
        <v>22</v>
      </c>
      <c r="C416">
        <v>78</v>
      </c>
      <c r="D416">
        <v>170</v>
      </c>
      <c r="E416" t="s">
        <v>9</v>
      </c>
      <c r="F416">
        <v>414</v>
      </c>
      <c r="G416">
        <f>1247-856</f>
        <v>391</v>
      </c>
      <c r="H416">
        <v>391.54770540796699</v>
      </c>
      <c r="I416">
        <v>392.12173170842698</v>
      </c>
      <c r="J416" s="6">
        <f>(H416-G416)/G416</f>
        <v>1.4007810945447236E-3</v>
      </c>
      <c r="K416" s="3">
        <f>(I416-G416)/G416</f>
        <v>2.8688790496853656E-3</v>
      </c>
      <c r="L416" s="6">
        <f>ABS(J416)</f>
        <v>1.4007810945447236E-3</v>
      </c>
      <c r="M416" s="3">
        <f>ABS(K416)</f>
        <v>2.8688790496853656E-3</v>
      </c>
      <c r="O416" s="20"/>
      <c r="P416" s="20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</row>
    <row r="417" spans="1:34" x14ac:dyDescent="0.35">
      <c r="A417" s="17">
        <v>416</v>
      </c>
      <c r="B417" s="17">
        <v>22</v>
      </c>
      <c r="C417" s="17">
        <v>78</v>
      </c>
      <c r="D417" s="17">
        <v>170</v>
      </c>
      <c r="E417" s="17" t="s">
        <v>9</v>
      </c>
      <c r="F417" s="17">
        <v>382</v>
      </c>
      <c r="G417">
        <f>406-28</f>
        <v>378</v>
      </c>
      <c r="H417">
        <v>377.93906024533101</v>
      </c>
      <c r="I417">
        <v>378.421296858733</v>
      </c>
      <c r="J417" s="18">
        <f>(H417-G417)/G417</f>
        <v>-1.6121628219310417E-4</v>
      </c>
      <c r="K417" s="19">
        <f>(I417-G417)/G417</f>
        <v>1.1145419543201085E-3</v>
      </c>
      <c r="L417" s="18">
        <f>ABS(J417)</f>
        <v>1.6121628219310417E-4</v>
      </c>
      <c r="M417" s="19">
        <f>ABS(K417)</f>
        <v>1.1145419543201085E-3</v>
      </c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</row>
    <row r="418" spans="1:34" s="13" customFormat="1" x14ac:dyDescent="0.35">
      <c r="A418" s="13">
        <v>417</v>
      </c>
      <c r="B418" s="13">
        <v>22</v>
      </c>
      <c r="C418" s="13">
        <v>78</v>
      </c>
      <c r="D418" s="13">
        <v>170</v>
      </c>
      <c r="E418" s="13" t="s">
        <v>9</v>
      </c>
      <c r="F418" s="13">
        <v>82</v>
      </c>
      <c r="G418" s="13">
        <f>889-512</f>
        <v>377</v>
      </c>
      <c r="H418" s="13">
        <v>250.35801184561399</v>
      </c>
      <c r="I418" s="13">
        <v>950.33435208766196</v>
      </c>
      <c r="N418" s="13" t="s">
        <v>24</v>
      </c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</row>
    <row r="419" spans="1:34" x14ac:dyDescent="0.35">
      <c r="A419">
        <v>418</v>
      </c>
      <c r="B419">
        <v>22</v>
      </c>
      <c r="C419">
        <v>78</v>
      </c>
      <c r="D419">
        <v>170</v>
      </c>
      <c r="E419" t="s">
        <v>9</v>
      </c>
      <c r="F419">
        <v>430</v>
      </c>
      <c r="G419">
        <f>1938-1563</f>
        <v>375</v>
      </c>
      <c r="H419">
        <v>398.352027989286</v>
      </c>
      <c r="I419">
        <v>403.02150811420802</v>
      </c>
      <c r="J419" s="6">
        <f>(H419-G419)/G419</f>
        <v>6.2272074638096003E-2</v>
      </c>
      <c r="K419" s="3">
        <f>(I419-G419)/G419</f>
        <v>7.472402163788805E-2</v>
      </c>
      <c r="L419" s="6">
        <f>ABS(J419)</f>
        <v>6.2272074638096003E-2</v>
      </c>
      <c r="M419" s="3">
        <f>ABS(K419)</f>
        <v>7.472402163788805E-2</v>
      </c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</row>
    <row r="420" spans="1:34" x14ac:dyDescent="0.35">
      <c r="A420">
        <v>419</v>
      </c>
      <c r="B420">
        <v>22</v>
      </c>
      <c r="C420">
        <v>78</v>
      </c>
      <c r="D420">
        <v>170</v>
      </c>
      <c r="E420" t="s">
        <v>9</v>
      </c>
      <c r="F420">
        <v>408</v>
      </c>
      <c r="G420">
        <f>884-509</f>
        <v>375</v>
      </c>
      <c r="H420">
        <v>388.996084439973</v>
      </c>
      <c r="I420">
        <v>389.06464862348002</v>
      </c>
      <c r="J420" s="6">
        <f>(H420-G420)/G420</f>
        <v>3.7322891839928006E-2</v>
      </c>
      <c r="K420" s="3">
        <f>(I420-G420)/G420</f>
        <v>3.7505729662613403E-2</v>
      </c>
      <c r="L420" s="6">
        <f>ABS(J420)</f>
        <v>3.7322891839928006E-2</v>
      </c>
      <c r="M420" s="3">
        <f>ABS(K420)</f>
        <v>3.7505729662613403E-2</v>
      </c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</row>
    <row r="421" spans="1:34" x14ac:dyDescent="0.35">
      <c r="A421">
        <v>420</v>
      </c>
      <c r="B421">
        <v>22</v>
      </c>
      <c r="C421">
        <v>78</v>
      </c>
      <c r="D421">
        <v>170</v>
      </c>
      <c r="E421" t="s">
        <v>9</v>
      </c>
      <c r="F421">
        <v>398</v>
      </c>
      <c r="G421">
        <f>1333-969</f>
        <v>364</v>
      </c>
      <c r="H421">
        <v>384.743382826649</v>
      </c>
      <c r="I421">
        <v>384.63779264278401</v>
      </c>
      <c r="J421" s="6">
        <f>(H421-G421)/G421</f>
        <v>5.6987315457826912E-2</v>
      </c>
      <c r="K421" s="3">
        <f>(I421-G421)/G421</f>
        <v>5.6697232535120899E-2</v>
      </c>
      <c r="L421" s="6">
        <f>ABS(J421)</f>
        <v>5.6987315457826912E-2</v>
      </c>
      <c r="M421" s="3">
        <f>ABS(K421)</f>
        <v>5.6697232535120899E-2</v>
      </c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</row>
    <row r="422" spans="1:34" x14ac:dyDescent="0.35">
      <c r="A422">
        <v>421</v>
      </c>
      <c r="B422">
        <v>22</v>
      </c>
      <c r="C422">
        <v>78</v>
      </c>
      <c r="D422">
        <v>170</v>
      </c>
      <c r="E422" t="s">
        <v>9</v>
      </c>
      <c r="F422">
        <v>398</v>
      </c>
      <c r="G422">
        <f>785-398</f>
        <v>387</v>
      </c>
      <c r="H422">
        <v>384.743382826649</v>
      </c>
      <c r="I422">
        <v>384.63779264278401</v>
      </c>
      <c r="J422" s="6">
        <f>(H422-G422)/G422</f>
        <v>-5.8310521275219719E-3</v>
      </c>
      <c r="K422" s="3">
        <f>(I422-G422)/G422</f>
        <v>-6.1038949798862879E-3</v>
      </c>
      <c r="L422" s="6">
        <f>ABS(J422)</f>
        <v>5.8310521275219719E-3</v>
      </c>
      <c r="M422" s="3">
        <f>ABS(K422)</f>
        <v>6.1038949798862879E-3</v>
      </c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</row>
    <row r="423" spans="1:34" x14ac:dyDescent="0.35">
      <c r="A423">
        <v>422</v>
      </c>
      <c r="B423">
        <v>22</v>
      </c>
      <c r="C423">
        <v>78</v>
      </c>
      <c r="D423">
        <v>170</v>
      </c>
      <c r="E423" t="s">
        <v>9</v>
      </c>
      <c r="F423">
        <v>412</v>
      </c>
      <c r="G423">
        <f>698-309</f>
        <v>389</v>
      </c>
      <c r="H423">
        <v>390.69716508530303</v>
      </c>
      <c r="I423">
        <v>390.99151157000898</v>
      </c>
      <c r="J423" s="6">
        <f>(H423-G423)/G423</f>
        <v>4.3628922501363163E-3</v>
      </c>
      <c r="K423" s="3">
        <f>(I423-G423)/G423</f>
        <v>5.1195670180179467E-3</v>
      </c>
      <c r="L423" s="6">
        <f>ABS(J423)</f>
        <v>4.3628922501363163E-3</v>
      </c>
      <c r="M423" s="3">
        <f>ABS(K423)</f>
        <v>5.1195670180179467E-3</v>
      </c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</row>
    <row r="424" spans="1:34" x14ac:dyDescent="0.35">
      <c r="A424">
        <v>423</v>
      </c>
      <c r="B424">
        <v>22</v>
      </c>
      <c r="C424">
        <v>78</v>
      </c>
      <c r="D424">
        <v>170</v>
      </c>
      <c r="E424" t="s">
        <v>9</v>
      </c>
      <c r="F424">
        <v>399</v>
      </c>
      <c r="G424">
        <f>1493-1107</f>
        <v>386</v>
      </c>
      <c r="H424">
        <v>385.168652987982</v>
      </c>
      <c r="I424">
        <v>385.068537446704</v>
      </c>
      <c r="J424" s="6">
        <f>(H424-G424)/G424</f>
        <v>-2.1537487357979274E-3</v>
      </c>
      <c r="K424" s="3">
        <f>(I424-G424)/G424</f>
        <v>-2.4131154230466341E-3</v>
      </c>
      <c r="L424" s="6">
        <f>ABS(J424)</f>
        <v>2.1537487357979274E-3</v>
      </c>
      <c r="M424" s="3">
        <f>ABS(K424)</f>
        <v>2.4131154230466341E-3</v>
      </c>
      <c r="O424" s="20"/>
      <c r="P424" s="20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</row>
    <row r="425" spans="1:34" x14ac:dyDescent="0.35">
      <c r="A425">
        <v>424</v>
      </c>
      <c r="B425">
        <v>22</v>
      </c>
      <c r="C425">
        <v>78</v>
      </c>
      <c r="D425">
        <v>170</v>
      </c>
      <c r="E425" t="s">
        <v>9</v>
      </c>
      <c r="F425">
        <v>431</v>
      </c>
      <c r="G425">
        <f>1153-767</f>
        <v>386</v>
      </c>
      <c r="H425">
        <v>398.77729815061798</v>
      </c>
      <c r="I425">
        <v>403.70274413956997</v>
      </c>
      <c r="J425" s="6">
        <f>(H425-G425)/G425</f>
        <v>3.3101808680357461E-2</v>
      </c>
      <c r="K425" s="3">
        <f>(I425-G425)/G425</f>
        <v>4.5862031449663145E-2</v>
      </c>
      <c r="L425" s="6">
        <f>ABS(J425)</f>
        <v>3.3101808680357461E-2</v>
      </c>
      <c r="M425" s="3">
        <f>ABS(K425)</f>
        <v>4.5862031449663145E-2</v>
      </c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</row>
    <row r="426" spans="1:34" x14ac:dyDescent="0.35">
      <c r="A426">
        <v>425</v>
      </c>
      <c r="B426">
        <v>22</v>
      </c>
      <c r="C426">
        <v>78</v>
      </c>
      <c r="D426">
        <v>170</v>
      </c>
      <c r="E426" t="s">
        <v>9</v>
      </c>
      <c r="F426">
        <v>381</v>
      </c>
      <c r="G426">
        <f>1452-1029</f>
        <v>423</v>
      </c>
      <c r="H426">
        <v>377.51379008399903</v>
      </c>
      <c r="I426">
        <v>378.06429408613297</v>
      </c>
      <c r="J426" s="6">
        <f>(H426-G426)/G426</f>
        <v>-0.10753241114893847</v>
      </c>
      <c r="K426" s="3">
        <f>(I426-G426)/G426</f>
        <v>-0.10623098324791259</v>
      </c>
      <c r="L426" s="6">
        <f>ABS(J426)</f>
        <v>0.10753241114893847</v>
      </c>
      <c r="M426" s="3">
        <f>ABS(K426)</f>
        <v>0.10623098324791259</v>
      </c>
      <c r="O426" s="20"/>
      <c r="P426" s="20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</row>
    <row r="427" spans="1:34" x14ac:dyDescent="0.35">
      <c r="A427">
        <v>426</v>
      </c>
      <c r="B427">
        <v>22</v>
      </c>
      <c r="C427">
        <v>78</v>
      </c>
      <c r="D427">
        <v>170</v>
      </c>
      <c r="E427" t="s">
        <v>9</v>
      </c>
      <c r="F427">
        <v>380</v>
      </c>
      <c r="G427">
        <f>1573-1191</f>
        <v>382</v>
      </c>
      <c r="H427">
        <v>377.08851992266602</v>
      </c>
      <c r="I427">
        <v>377.70729131353198</v>
      </c>
      <c r="J427" s="6">
        <f>(H427-G427)/G427</f>
        <v>-1.285727768935596E-2</v>
      </c>
      <c r="K427" s="3">
        <f>(I427-G427)/G427</f>
        <v>-1.1237457294418895E-2</v>
      </c>
      <c r="L427" s="6">
        <f>ABS(J427)</f>
        <v>1.285727768935596E-2</v>
      </c>
      <c r="M427" s="3">
        <f>ABS(K427)</f>
        <v>1.1237457294418895E-2</v>
      </c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</row>
    <row r="428" spans="1:34" x14ac:dyDescent="0.35">
      <c r="A428">
        <v>427</v>
      </c>
      <c r="B428">
        <v>22</v>
      </c>
      <c r="C428">
        <v>78</v>
      </c>
      <c r="D428">
        <v>170</v>
      </c>
      <c r="E428" t="s">
        <v>9</v>
      </c>
      <c r="F428">
        <v>382</v>
      </c>
      <c r="G428">
        <f>1635-1252</f>
        <v>383</v>
      </c>
      <c r="H428">
        <v>377.93906024533101</v>
      </c>
      <c r="I428">
        <v>378.421296858733</v>
      </c>
      <c r="J428" s="6">
        <f>(H428-G428)/G428</f>
        <v>-1.3213941918195806E-2</v>
      </c>
      <c r="K428" s="3">
        <f>(I428-G428)/G428</f>
        <v>-1.1954838488947779E-2</v>
      </c>
      <c r="L428" s="6">
        <f>ABS(J428)</f>
        <v>1.3213941918195806E-2</v>
      </c>
      <c r="M428" s="3">
        <f>ABS(K428)</f>
        <v>1.1954838488947779E-2</v>
      </c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</row>
    <row r="429" spans="1:34" x14ac:dyDescent="0.35">
      <c r="A429">
        <v>428</v>
      </c>
      <c r="B429">
        <v>22</v>
      </c>
      <c r="C429">
        <v>78</v>
      </c>
      <c r="D429">
        <v>170</v>
      </c>
      <c r="E429" t="s">
        <v>9</v>
      </c>
      <c r="F429">
        <v>415</v>
      </c>
      <c r="G429">
        <f>1059-659</f>
        <v>400</v>
      </c>
      <c r="H429">
        <v>391.97297556929999</v>
      </c>
      <c r="I429">
        <v>392.80296773378802</v>
      </c>
      <c r="J429" s="6">
        <f>(H429-G429)/G429</f>
        <v>-2.0067561076750024E-2</v>
      </c>
      <c r="K429" s="3">
        <f>(I429-G429)/G429</f>
        <v>-1.7992580665529941E-2</v>
      </c>
      <c r="L429" s="6">
        <f>ABS(J429)</f>
        <v>2.0067561076750024E-2</v>
      </c>
      <c r="M429" s="3">
        <f>ABS(K429)</f>
        <v>1.7992580665529941E-2</v>
      </c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</row>
    <row r="430" spans="1:34" x14ac:dyDescent="0.35">
      <c r="A430">
        <v>429</v>
      </c>
      <c r="B430">
        <v>22</v>
      </c>
      <c r="C430">
        <v>78</v>
      </c>
      <c r="D430">
        <v>170</v>
      </c>
      <c r="E430" t="s">
        <v>9</v>
      </c>
      <c r="F430">
        <v>412</v>
      </c>
      <c r="G430">
        <f>1135-787</f>
        <v>348</v>
      </c>
      <c r="H430">
        <v>390.69716508530303</v>
      </c>
      <c r="I430">
        <v>390.99151157000898</v>
      </c>
      <c r="J430" s="6">
        <f>(H430-G430)/G430</f>
        <v>0.12269300311868686</v>
      </c>
      <c r="K430" s="3">
        <f>(I430-G430)/G430</f>
        <v>0.12353882635060053</v>
      </c>
      <c r="L430" s="6">
        <f>ABS(J430)</f>
        <v>0.12269300311868686</v>
      </c>
      <c r="M430" s="3">
        <f>ABS(K430)</f>
        <v>0.12353882635060053</v>
      </c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</row>
    <row r="431" spans="1:34" x14ac:dyDescent="0.35">
      <c r="A431">
        <v>430</v>
      </c>
      <c r="B431">
        <v>22</v>
      </c>
      <c r="C431">
        <v>78</v>
      </c>
      <c r="D431">
        <v>170</v>
      </c>
      <c r="E431" t="s">
        <v>9</v>
      </c>
      <c r="F431">
        <v>396</v>
      </c>
      <c r="G431">
        <f>427-0</f>
        <v>427</v>
      </c>
      <c r="H431">
        <v>383.89284250398401</v>
      </c>
      <c r="I431">
        <v>383.77630303494601</v>
      </c>
      <c r="J431" s="6">
        <f>(H431-G431)/G431</f>
        <v>-0.10095353043563463</v>
      </c>
      <c r="K431" s="3">
        <f>(I431-G431)/G431</f>
        <v>-0.1012264565926323</v>
      </c>
      <c r="L431" s="6">
        <f>ABS(J431)</f>
        <v>0.10095353043563463</v>
      </c>
      <c r="M431" s="3">
        <f>ABS(K431)</f>
        <v>0.1012264565926323</v>
      </c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</row>
    <row r="432" spans="1:34" x14ac:dyDescent="0.35">
      <c r="A432">
        <v>431</v>
      </c>
      <c r="B432">
        <v>22</v>
      </c>
      <c r="C432">
        <v>78</v>
      </c>
      <c r="D432">
        <v>170</v>
      </c>
      <c r="E432" t="s">
        <v>9</v>
      </c>
      <c r="F432">
        <v>399</v>
      </c>
      <c r="G432">
        <f>1120-690</f>
        <v>430</v>
      </c>
      <c r="H432">
        <v>385.168652987982</v>
      </c>
      <c r="I432">
        <v>385.068537446704</v>
      </c>
      <c r="J432" s="6">
        <f>(H432-G432)/G432</f>
        <v>-0.10425894653957675</v>
      </c>
      <c r="K432" s="3">
        <f>(I432-G432)/G432</f>
        <v>-0.10449177337975814</v>
      </c>
      <c r="L432" s="6">
        <f>ABS(J432)</f>
        <v>0.10425894653957675</v>
      </c>
      <c r="M432" s="3">
        <f>ABS(K432)</f>
        <v>0.10449177337975814</v>
      </c>
      <c r="O432" s="20"/>
      <c r="P432" s="20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</row>
    <row r="433" spans="1:34" x14ac:dyDescent="0.35">
      <c r="A433">
        <v>432</v>
      </c>
      <c r="B433">
        <v>22</v>
      </c>
      <c r="C433">
        <v>78</v>
      </c>
      <c r="D433">
        <v>170</v>
      </c>
      <c r="E433" t="s">
        <v>9</v>
      </c>
      <c r="F433">
        <v>414</v>
      </c>
      <c r="G433">
        <f>844-424</f>
        <v>420</v>
      </c>
      <c r="H433">
        <v>391.54770540796699</v>
      </c>
      <c r="I433">
        <v>392.12173170842698</v>
      </c>
      <c r="J433" s="6">
        <f>(H433-G433)/G433</f>
        <v>-6.774355855245956E-2</v>
      </c>
      <c r="K433" s="3">
        <f>(I433-G433)/G433</f>
        <v>-6.6376829265650056E-2</v>
      </c>
      <c r="L433" s="6">
        <f>ABS(J433)</f>
        <v>6.774355855245956E-2</v>
      </c>
      <c r="M433" s="3">
        <f>ABS(K433)</f>
        <v>6.6376829265650056E-2</v>
      </c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</row>
    <row r="434" spans="1:34" x14ac:dyDescent="0.35">
      <c r="A434">
        <v>433</v>
      </c>
      <c r="B434">
        <v>22</v>
      </c>
      <c r="C434">
        <v>78</v>
      </c>
      <c r="D434">
        <v>170</v>
      </c>
      <c r="E434" t="s">
        <v>9</v>
      </c>
      <c r="F434">
        <v>380</v>
      </c>
      <c r="G434">
        <f>1416-1000</f>
        <v>416</v>
      </c>
      <c r="H434">
        <v>377.08851992266602</v>
      </c>
      <c r="I434">
        <v>377.70729131353198</v>
      </c>
      <c r="J434" s="6">
        <f>(H434-G434)/G434</f>
        <v>-9.3537211724360525E-2</v>
      </c>
      <c r="K434" s="3">
        <f>(I434-G434)/G434</f>
        <v>-9.2049780496317346E-2</v>
      </c>
      <c r="L434" s="6">
        <f>ABS(J434)</f>
        <v>9.3537211724360525E-2</v>
      </c>
      <c r="M434" s="3">
        <f>ABS(K434)</f>
        <v>9.2049780496317346E-2</v>
      </c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</row>
    <row r="435" spans="1:34" x14ac:dyDescent="0.35">
      <c r="A435">
        <v>434</v>
      </c>
      <c r="B435">
        <v>22</v>
      </c>
      <c r="C435">
        <v>78</v>
      </c>
      <c r="D435">
        <v>170</v>
      </c>
      <c r="E435" t="s">
        <v>9</v>
      </c>
      <c r="F435">
        <v>398</v>
      </c>
      <c r="G435">
        <f>816-404</f>
        <v>412</v>
      </c>
      <c r="H435">
        <v>384.743382826649</v>
      </c>
      <c r="I435">
        <v>384.63779264278401</v>
      </c>
      <c r="J435" s="6">
        <f>(H435-G435)/G435</f>
        <v>-6.6156837799395643E-2</v>
      </c>
      <c r="K435" s="3">
        <f>(I435-G435)/G435</f>
        <v>-6.6413124653436878E-2</v>
      </c>
      <c r="L435" s="6">
        <f>ABS(J435)</f>
        <v>6.6156837799395643E-2</v>
      </c>
      <c r="M435" s="3">
        <f>ABS(K435)</f>
        <v>6.6413124653436878E-2</v>
      </c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</row>
    <row r="436" spans="1:34" x14ac:dyDescent="0.35">
      <c r="A436">
        <v>435</v>
      </c>
      <c r="B436">
        <v>22</v>
      </c>
      <c r="C436">
        <v>78</v>
      </c>
      <c r="D436">
        <v>170</v>
      </c>
      <c r="E436" t="s">
        <v>9</v>
      </c>
      <c r="F436">
        <v>359</v>
      </c>
      <c r="G436">
        <f>422-53</f>
        <v>369</v>
      </c>
      <c r="H436">
        <v>368.15784653468597</v>
      </c>
      <c r="I436">
        <v>376.79712961924997</v>
      </c>
      <c r="J436" s="6">
        <f>(H436-G436)/G436</f>
        <v>-2.2822587135881492E-3</v>
      </c>
      <c r="K436" s="3">
        <f>(I436-G436)/G436</f>
        <v>2.1130432572493151E-2</v>
      </c>
      <c r="L436" s="6">
        <f>ABS(J436)</f>
        <v>2.2822587135881492E-3</v>
      </c>
      <c r="M436" s="3">
        <f>ABS(K436)</f>
        <v>2.1130432572493151E-2</v>
      </c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</row>
    <row r="437" spans="1:34" x14ac:dyDescent="0.35">
      <c r="A437">
        <v>436</v>
      </c>
      <c r="B437">
        <v>22</v>
      </c>
      <c r="C437">
        <v>78</v>
      </c>
      <c r="D437">
        <v>170</v>
      </c>
      <c r="E437" t="s">
        <v>9</v>
      </c>
      <c r="F437">
        <v>397</v>
      </c>
      <c r="G437">
        <f>1181-758</f>
        <v>423</v>
      </c>
      <c r="H437">
        <v>384.31811266531702</v>
      </c>
      <c r="I437">
        <v>384.20704783886498</v>
      </c>
      <c r="J437" s="6">
        <f>(H437-G437)/G437</f>
        <v>-9.1446542162371122E-2</v>
      </c>
      <c r="K437" s="3">
        <f>(I437-G437)/G437</f>
        <v>-9.1709106763912571E-2</v>
      </c>
      <c r="L437" s="6">
        <f>ABS(J437)</f>
        <v>9.1446542162371122E-2</v>
      </c>
      <c r="M437" s="3">
        <f>ABS(K437)</f>
        <v>9.1709106763912571E-2</v>
      </c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</row>
    <row r="438" spans="1:34" x14ac:dyDescent="0.35">
      <c r="A438">
        <v>437</v>
      </c>
      <c r="B438">
        <v>22</v>
      </c>
      <c r="C438">
        <v>78</v>
      </c>
      <c r="D438">
        <v>170</v>
      </c>
      <c r="E438" t="s">
        <v>9</v>
      </c>
      <c r="F438">
        <v>397</v>
      </c>
      <c r="G438">
        <f>667-262</f>
        <v>405</v>
      </c>
      <c r="H438">
        <v>384.31811266531702</v>
      </c>
      <c r="I438">
        <v>384.20704783886498</v>
      </c>
      <c r="J438" s="6">
        <f>(H438-G438)/G438</f>
        <v>-5.1066388480698721E-2</v>
      </c>
      <c r="K438" s="3">
        <f>(I438-G438)/G438</f>
        <v>-5.1340622620086471E-2</v>
      </c>
      <c r="L438" s="6">
        <f>ABS(J438)</f>
        <v>5.1066388480698721E-2</v>
      </c>
      <c r="M438" s="3">
        <f>ABS(K438)</f>
        <v>5.1340622620086471E-2</v>
      </c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</row>
    <row r="439" spans="1:34" x14ac:dyDescent="0.35">
      <c r="A439">
        <v>438</v>
      </c>
      <c r="B439">
        <v>22</v>
      </c>
      <c r="C439">
        <v>78</v>
      </c>
      <c r="D439">
        <v>170</v>
      </c>
      <c r="E439" t="s">
        <v>9</v>
      </c>
      <c r="F439">
        <v>381</v>
      </c>
      <c r="G439">
        <f>435-0</f>
        <v>435</v>
      </c>
      <c r="H439">
        <v>377.51379008399903</v>
      </c>
      <c r="I439">
        <v>378.06429408613297</v>
      </c>
      <c r="J439" s="6">
        <f>(H439-G439)/G439</f>
        <v>-0.13215220670345051</v>
      </c>
      <c r="K439" s="3">
        <f>(I439-G439)/G439</f>
        <v>-0.13088668026176328</v>
      </c>
      <c r="L439" s="6">
        <f>ABS(J439)</f>
        <v>0.13215220670345051</v>
      </c>
      <c r="M439" s="3">
        <f>ABS(K439)</f>
        <v>0.13088668026176328</v>
      </c>
      <c r="O439" s="20"/>
      <c r="P439" s="20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</row>
    <row r="440" spans="1:34" x14ac:dyDescent="0.35">
      <c r="A440">
        <v>439</v>
      </c>
      <c r="B440">
        <v>22</v>
      </c>
      <c r="C440">
        <v>78</v>
      </c>
      <c r="D440">
        <v>170</v>
      </c>
      <c r="E440" t="s">
        <v>9</v>
      </c>
      <c r="F440">
        <v>395</v>
      </c>
      <c r="G440">
        <f>829-457</f>
        <v>372</v>
      </c>
      <c r="H440">
        <v>383.46757234265198</v>
      </c>
      <c r="I440">
        <v>383.34555823102602</v>
      </c>
      <c r="J440" s="6">
        <f>(H440-G440)/G440</f>
        <v>3.0826807372720366E-2</v>
      </c>
      <c r="K440" s="3">
        <f>(I440-G440)/G440</f>
        <v>3.0498812448994671E-2</v>
      </c>
      <c r="L440" s="6">
        <f>ABS(J440)</f>
        <v>3.0826807372720366E-2</v>
      </c>
      <c r="M440" s="3">
        <f>ABS(K440)</f>
        <v>3.0498812448994671E-2</v>
      </c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</row>
    <row r="441" spans="1:34" x14ac:dyDescent="0.35">
      <c r="A441">
        <v>440</v>
      </c>
      <c r="B441">
        <v>22</v>
      </c>
      <c r="C441">
        <v>78</v>
      </c>
      <c r="D441">
        <v>170</v>
      </c>
      <c r="E441" t="s">
        <v>9</v>
      </c>
      <c r="F441">
        <v>413</v>
      </c>
      <c r="G441">
        <f>396-0</f>
        <v>396</v>
      </c>
      <c r="H441">
        <v>391.12243524663501</v>
      </c>
      <c r="I441">
        <v>391.473227306642</v>
      </c>
      <c r="J441" s="6">
        <f>(H441-G441)/G441</f>
        <v>-1.2317082710517659E-2</v>
      </c>
      <c r="K441" s="3">
        <f>(I441-G441)/G441</f>
        <v>-1.143124417514646E-2</v>
      </c>
      <c r="L441" s="6">
        <f>ABS(J441)</f>
        <v>1.2317082710517659E-2</v>
      </c>
      <c r="M441" s="3">
        <f>ABS(K441)</f>
        <v>1.143124417514646E-2</v>
      </c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</row>
    <row r="442" spans="1:34" x14ac:dyDescent="0.35">
      <c r="A442">
        <v>441</v>
      </c>
      <c r="B442">
        <v>22</v>
      </c>
      <c r="C442">
        <v>78</v>
      </c>
      <c r="D442">
        <v>170</v>
      </c>
      <c r="E442" t="s">
        <v>9</v>
      </c>
      <c r="F442">
        <v>397</v>
      </c>
      <c r="G442">
        <f>1200-841</f>
        <v>359</v>
      </c>
      <c r="H442">
        <v>384.31811266531702</v>
      </c>
      <c r="I442">
        <v>384.20704783886498</v>
      </c>
      <c r="J442" s="6">
        <f>(H442-G442)/G442</f>
        <v>7.0523990711189463E-2</v>
      </c>
      <c r="K442" s="3">
        <f>(I442-G442)/G442</f>
        <v>7.0214617935557042E-2</v>
      </c>
      <c r="L442" s="6">
        <f>ABS(J442)</f>
        <v>7.0523990711189463E-2</v>
      </c>
      <c r="M442" s="3">
        <f>ABS(K442)</f>
        <v>7.0214617935557042E-2</v>
      </c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</row>
    <row r="443" spans="1:34" x14ac:dyDescent="0.35">
      <c r="A443">
        <v>442</v>
      </c>
      <c r="B443">
        <v>22</v>
      </c>
      <c r="C443">
        <v>78</v>
      </c>
      <c r="D443">
        <v>170</v>
      </c>
      <c r="E443" t="s">
        <v>9</v>
      </c>
      <c r="F443">
        <v>364</v>
      </c>
      <c r="G443">
        <f>1046-684</f>
        <v>362</v>
      </c>
      <c r="H443">
        <v>370.28419734134798</v>
      </c>
      <c r="I443">
        <v>376.148061967221</v>
      </c>
      <c r="J443" s="6">
        <f>(H443-G443)/G443</f>
        <v>2.2884523042397725E-2</v>
      </c>
      <c r="K443" s="3">
        <f>(I443-G443)/G443</f>
        <v>3.9083044108345295E-2</v>
      </c>
      <c r="L443" s="6">
        <f>ABS(J443)</f>
        <v>2.2884523042397725E-2</v>
      </c>
      <c r="M443" s="3">
        <f>ABS(K443)</f>
        <v>3.9083044108345295E-2</v>
      </c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</row>
    <row r="444" spans="1:34" x14ac:dyDescent="0.35">
      <c r="A444">
        <v>443</v>
      </c>
      <c r="B444">
        <v>22</v>
      </c>
      <c r="C444">
        <v>78</v>
      </c>
      <c r="D444">
        <v>170</v>
      </c>
      <c r="E444" t="s">
        <v>9</v>
      </c>
      <c r="F444">
        <v>414</v>
      </c>
      <c r="G444">
        <f>961-608</f>
        <v>353</v>
      </c>
      <c r="H444">
        <v>391.54770540796699</v>
      </c>
      <c r="I444">
        <v>392.12173170842698</v>
      </c>
      <c r="J444" s="6">
        <f>(H444-G444)/G444</f>
        <v>0.10920029860613878</v>
      </c>
      <c r="K444" s="3">
        <f>(I444-G444)/G444</f>
        <v>0.11082643543463733</v>
      </c>
      <c r="L444" s="6">
        <f>ABS(J444)</f>
        <v>0.10920029860613878</v>
      </c>
      <c r="M444" s="3">
        <f>ABS(K444)</f>
        <v>0.11082643543463733</v>
      </c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</row>
    <row r="445" spans="1:34" x14ac:dyDescent="0.35">
      <c r="A445">
        <v>444</v>
      </c>
      <c r="B445">
        <v>22</v>
      </c>
      <c r="C445">
        <v>78</v>
      </c>
      <c r="D445">
        <v>170</v>
      </c>
      <c r="E445" t="s">
        <v>9</v>
      </c>
      <c r="F445">
        <v>365</v>
      </c>
      <c r="G445">
        <f>483-60</f>
        <v>423</v>
      </c>
      <c r="H445">
        <v>370.70946750268001</v>
      </c>
      <c r="I445">
        <v>376.06711945650602</v>
      </c>
      <c r="J445" s="6">
        <f>(H445-G445)/G445</f>
        <v>-0.12361828013550824</v>
      </c>
      <c r="K445" s="3">
        <f>(I445-G445)/G445</f>
        <v>-0.11095243627303542</v>
      </c>
      <c r="L445" s="6">
        <f>ABS(J445)</f>
        <v>0.12361828013550824</v>
      </c>
      <c r="M445" s="3">
        <f>ABS(K445)</f>
        <v>0.11095243627303542</v>
      </c>
      <c r="O445" s="20"/>
      <c r="P445" s="20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</row>
    <row r="446" spans="1:34" x14ac:dyDescent="0.35">
      <c r="A446">
        <v>445</v>
      </c>
      <c r="B446">
        <v>22</v>
      </c>
      <c r="C446">
        <v>78</v>
      </c>
      <c r="D446">
        <v>170</v>
      </c>
      <c r="E446" t="s">
        <v>9</v>
      </c>
      <c r="F446">
        <v>397</v>
      </c>
      <c r="G446">
        <f>670-277</f>
        <v>393</v>
      </c>
      <c r="H446">
        <v>384.31811266531702</v>
      </c>
      <c r="I446">
        <v>384.20704783886498</v>
      </c>
      <c r="J446" s="6">
        <f>(H446-G446)/G446</f>
        <v>-2.2091316373239144E-2</v>
      </c>
      <c r="K446" s="3">
        <f>(I446-G446)/G446</f>
        <v>-2.237392407413491E-2</v>
      </c>
      <c r="L446" s="6">
        <f>ABS(J446)</f>
        <v>2.2091316373239144E-2</v>
      </c>
      <c r="M446" s="3">
        <f>ABS(K446)</f>
        <v>2.237392407413491E-2</v>
      </c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</row>
    <row r="447" spans="1:34" x14ac:dyDescent="0.35">
      <c r="A447">
        <v>446</v>
      </c>
      <c r="B447">
        <v>22</v>
      </c>
      <c r="C447">
        <v>78</v>
      </c>
      <c r="D447">
        <v>170</v>
      </c>
      <c r="E447" t="s">
        <v>9</v>
      </c>
      <c r="F447">
        <v>430</v>
      </c>
      <c r="G447">
        <f>1780-1400</f>
        <v>380</v>
      </c>
      <c r="H447">
        <v>398.352027989286</v>
      </c>
      <c r="I447">
        <v>403.02150811420802</v>
      </c>
      <c r="J447" s="6">
        <f>(H447-G447)/G447</f>
        <v>4.8294810498121052E-2</v>
      </c>
      <c r="K447" s="3">
        <f>(I447-G447)/G447</f>
        <v>6.0582916090021102E-2</v>
      </c>
      <c r="L447" s="6">
        <f>ABS(J447)</f>
        <v>4.8294810498121052E-2</v>
      </c>
      <c r="M447" s="3">
        <f>ABS(K447)</f>
        <v>6.0582916090021102E-2</v>
      </c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</row>
    <row r="448" spans="1:34" x14ac:dyDescent="0.35">
      <c r="A448">
        <v>447</v>
      </c>
      <c r="B448">
        <v>22</v>
      </c>
      <c r="C448">
        <v>78</v>
      </c>
      <c r="D448">
        <v>170</v>
      </c>
      <c r="E448" t="s">
        <v>9</v>
      </c>
      <c r="F448">
        <v>368</v>
      </c>
      <c r="G448">
        <f>985-607</f>
        <v>378</v>
      </c>
      <c r="H448">
        <v>371.985277986678</v>
      </c>
      <c r="I448">
        <v>375.96031332203597</v>
      </c>
      <c r="J448" s="6">
        <f>(H448-G448)/G448</f>
        <v>-1.5911962998206349E-2</v>
      </c>
      <c r="K448" s="3">
        <f>(I448-G448)/G448</f>
        <v>-5.3959965025503374E-3</v>
      </c>
      <c r="L448" s="6">
        <f>ABS(J448)</f>
        <v>1.5911962998206349E-2</v>
      </c>
      <c r="M448" s="3">
        <f>ABS(K448)</f>
        <v>5.3959965025503374E-3</v>
      </c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</row>
    <row r="449" spans="1:34" x14ac:dyDescent="0.35">
      <c r="A449">
        <v>448</v>
      </c>
      <c r="B449">
        <v>22</v>
      </c>
      <c r="C449">
        <v>78</v>
      </c>
      <c r="D449">
        <v>170</v>
      </c>
      <c r="E449" t="s">
        <v>9</v>
      </c>
      <c r="F449">
        <v>412</v>
      </c>
      <c r="G449">
        <f>922-524</f>
        <v>398</v>
      </c>
      <c r="H449">
        <v>390.69716508530303</v>
      </c>
      <c r="I449">
        <v>390.99151157000898</v>
      </c>
      <c r="J449" s="6">
        <f>(H449-G449)/G449</f>
        <v>-1.8348831443962245E-2</v>
      </c>
      <c r="K449" s="3">
        <f>(I449-G449)/G449</f>
        <v>-1.7609267412037735E-2</v>
      </c>
      <c r="L449" s="6">
        <f>ABS(J449)</f>
        <v>1.8348831443962245E-2</v>
      </c>
      <c r="M449" s="3">
        <f>ABS(K449)</f>
        <v>1.7609267412037735E-2</v>
      </c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</row>
    <row r="450" spans="1:34" x14ac:dyDescent="0.35">
      <c r="A450">
        <v>449</v>
      </c>
      <c r="B450">
        <v>22</v>
      </c>
      <c r="C450">
        <v>78</v>
      </c>
      <c r="D450">
        <v>170</v>
      </c>
      <c r="E450" t="s">
        <v>9</v>
      </c>
      <c r="F450">
        <v>344</v>
      </c>
      <c r="G450">
        <f>1965-1588</f>
        <v>377</v>
      </c>
      <c r="H450">
        <v>361.77879411470002</v>
      </c>
      <c r="I450">
        <v>383.01225412762602</v>
      </c>
      <c r="J450" s="6">
        <f>(H450-G450)/G450</f>
        <v>-4.037455141989385E-2</v>
      </c>
      <c r="K450" s="3">
        <f>(I450-G450)/G450</f>
        <v>1.5947623680705628E-2</v>
      </c>
      <c r="L450" s="6">
        <f>ABS(J450)</f>
        <v>4.037455141989385E-2</v>
      </c>
      <c r="M450" s="3">
        <f>ABS(K450)</f>
        <v>1.5947623680705628E-2</v>
      </c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</row>
    <row r="451" spans="1:34" x14ac:dyDescent="0.35">
      <c r="A451">
        <v>450</v>
      </c>
      <c r="B451">
        <v>22</v>
      </c>
      <c r="C451">
        <v>78</v>
      </c>
      <c r="D451">
        <v>170</v>
      </c>
      <c r="E451" t="s">
        <v>9</v>
      </c>
      <c r="F451">
        <v>380</v>
      </c>
      <c r="G451">
        <f>1185-803</f>
        <v>382</v>
      </c>
      <c r="H451">
        <v>377.08851992266602</v>
      </c>
      <c r="I451">
        <v>377.70729131353198</v>
      </c>
      <c r="J451" s="6">
        <f>(H451-G451)/G451</f>
        <v>-1.285727768935596E-2</v>
      </c>
      <c r="K451" s="3">
        <f>(I451-G451)/G451</f>
        <v>-1.1237457294418895E-2</v>
      </c>
      <c r="L451" s="6">
        <f>ABS(J451)</f>
        <v>1.285727768935596E-2</v>
      </c>
      <c r="M451" s="3">
        <f>ABS(K451)</f>
        <v>1.1237457294418895E-2</v>
      </c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</row>
    <row r="452" spans="1:34" x14ac:dyDescent="0.35">
      <c r="A452">
        <v>451</v>
      </c>
      <c r="B452">
        <v>22</v>
      </c>
      <c r="C452">
        <v>78</v>
      </c>
      <c r="D452">
        <v>170</v>
      </c>
      <c r="E452" t="s">
        <v>9</v>
      </c>
      <c r="F452">
        <v>380</v>
      </c>
      <c r="G452">
        <f>488-112</f>
        <v>376</v>
      </c>
      <c r="H452">
        <v>377.08851992266602</v>
      </c>
      <c r="I452">
        <v>377.70729131353198</v>
      </c>
      <c r="J452" s="6">
        <f>(H452-G452)/G452</f>
        <v>2.8949997943245303E-3</v>
      </c>
      <c r="K452" s="3">
        <f>(I452-G452)/G452</f>
        <v>4.5406683870531442E-3</v>
      </c>
      <c r="L452" s="6">
        <f>ABS(J452)</f>
        <v>2.8949997943245303E-3</v>
      </c>
      <c r="M452" s="3">
        <f>ABS(K452)</f>
        <v>4.5406683870531442E-3</v>
      </c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</row>
    <row r="453" spans="1:34" x14ac:dyDescent="0.35">
      <c r="A453">
        <v>452</v>
      </c>
      <c r="B453">
        <v>22</v>
      </c>
      <c r="C453">
        <v>78</v>
      </c>
      <c r="D453">
        <v>170</v>
      </c>
      <c r="E453" t="s">
        <v>9</v>
      </c>
      <c r="F453">
        <v>394</v>
      </c>
      <c r="G453">
        <f>537-167</f>
        <v>370</v>
      </c>
      <c r="H453">
        <v>383.04230218132</v>
      </c>
      <c r="I453">
        <v>382.91481342710699</v>
      </c>
      <c r="J453" s="6">
        <f>(H453-G453)/G453</f>
        <v>3.5249465354918907E-2</v>
      </c>
      <c r="K453" s="3">
        <f>(I453-G453)/G453</f>
        <v>3.4904901154343221E-2</v>
      </c>
      <c r="L453" s="6">
        <f>ABS(J453)</f>
        <v>3.5249465354918907E-2</v>
      </c>
      <c r="M453" s="3">
        <f>ABS(K453)</f>
        <v>3.4904901154343221E-2</v>
      </c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</row>
    <row r="454" spans="1:34" x14ac:dyDescent="0.35">
      <c r="A454">
        <v>453</v>
      </c>
      <c r="B454">
        <v>22</v>
      </c>
      <c r="C454">
        <v>78</v>
      </c>
      <c r="D454">
        <v>170</v>
      </c>
      <c r="E454" t="s">
        <v>9</v>
      </c>
      <c r="F454">
        <v>364</v>
      </c>
      <c r="G454">
        <f>366-0</f>
        <v>366</v>
      </c>
      <c r="H454">
        <v>370.28419734134798</v>
      </c>
      <c r="I454">
        <v>376.148061967221</v>
      </c>
      <c r="J454" s="6">
        <f>(H454-G454)/G454</f>
        <v>1.1705457216797749E-2</v>
      </c>
      <c r="K454" s="3">
        <f>(I454-G454)/G454</f>
        <v>2.7726945265631138E-2</v>
      </c>
      <c r="L454" s="6">
        <f>ABS(J454)</f>
        <v>1.1705457216797749E-2</v>
      </c>
      <c r="M454" s="3">
        <f>ABS(K454)</f>
        <v>2.7726945265631138E-2</v>
      </c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</row>
    <row r="455" spans="1:34" x14ac:dyDescent="0.35">
      <c r="A455">
        <v>454</v>
      </c>
      <c r="B455">
        <v>22</v>
      </c>
      <c r="C455">
        <v>78</v>
      </c>
      <c r="D455">
        <v>170</v>
      </c>
      <c r="E455" t="s">
        <v>9</v>
      </c>
      <c r="F455">
        <v>380</v>
      </c>
      <c r="G455">
        <f>2086-1696</f>
        <v>390</v>
      </c>
      <c r="H455">
        <v>377.08851992266602</v>
      </c>
      <c r="I455">
        <v>377.70729131353198</v>
      </c>
      <c r="J455" s="6">
        <f>(H455-G455)/G455</f>
        <v>-3.3106359172651222E-2</v>
      </c>
      <c r="K455" s="3">
        <f>(I455-G455)/G455</f>
        <v>-3.1519765862738504E-2</v>
      </c>
      <c r="L455" s="6">
        <f>ABS(J455)</f>
        <v>3.3106359172651222E-2</v>
      </c>
      <c r="M455" s="3">
        <f>ABS(K455)</f>
        <v>3.1519765862738504E-2</v>
      </c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</row>
    <row r="456" spans="1:34" x14ac:dyDescent="0.35">
      <c r="A456">
        <v>455</v>
      </c>
      <c r="B456">
        <v>22</v>
      </c>
      <c r="C456">
        <v>78</v>
      </c>
      <c r="D456">
        <v>170</v>
      </c>
      <c r="E456" t="s">
        <v>9</v>
      </c>
      <c r="F456">
        <v>413</v>
      </c>
      <c r="G456">
        <f>955-576</f>
        <v>379</v>
      </c>
      <c r="H456">
        <v>391.12243524663501</v>
      </c>
      <c r="I456">
        <v>391.473227306642</v>
      </c>
      <c r="J456" s="6">
        <f>(H456-G456)/G456</f>
        <v>3.1985317273443288E-2</v>
      </c>
      <c r="K456" s="3">
        <f>(I456-G456)/G456</f>
        <v>3.2910889991139849E-2</v>
      </c>
      <c r="L456" s="6">
        <f>ABS(J456)</f>
        <v>3.1985317273443288E-2</v>
      </c>
      <c r="M456" s="3">
        <f>ABS(K456)</f>
        <v>3.2910889991139849E-2</v>
      </c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</row>
    <row r="457" spans="1:34" x14ac:dyDescent="0.35">
      <c r="A457">
        <v>456</v>
      </c>
      <c r="B457">
        <v>22</v>
      </c>
      <c r="C457">
        <v>78</v>
      </c>
      <c r="D457">
        <v>170</v>
      </c>
      <c r="E457" t="s">
        <v>9</v>
      </c>
      <c r="F457">
        <v>381</v>
      </c>
      <c r="G457">
        <f>1033-669</f>
        <v>364</v>
      </c>
      <c r="H457">
        <v>377.51379008399903</v>
      </c>
      <c r="I457">
        <v>378.06429408613297</v>
      </c>
      <c r="J457" s="6">
        <f>(H457-G457)/G457</f>
        <v>3.712579693406326E-2</v>
      </c>
      <c r="K457" s="3">
        <f>(I457-G457)/G457</f>
        <v>3.8638170566299382E-2</v>
      </c>
      <c r="L457" s="6">
        <f>ABS(J457)</f>
        <v>3.712579693406326E-2</v>
      </c>
      <c r="M457" s="3">
        <f>ABS(K457)</f>
        <v>3.8638170566299382E-2</v>
      </c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</row>
    <row r="458" spans="1:34" x14ac:dyDescent="0.35">
      <c r="A458">
        <v>457</v>
      </c>
      <c r="B458">
        <v>22</v>
      </c>
      <c r="C458">
        <v>78</v>
      </c>
      <c r="D458">
        <v>170</v>
      </c>
      <c r="E458" t="s">
        <v>9</v>
      </c>
      <c r="F458">
        <v>381</v>
      </c>
      <c r="G458">
        <f>730-347</f>
        <v>383</v>
      </c>
      <c r="H458">
        <v>377.51379008399903</v>
      </c>
      <c r="I458">
        <v>378.06429408613297</v>
      </c>
      <c r="J458" s="6">
        <f>(H458-G458)/G458</f>
        <v>-1.4324307874676171E-2</v>
      </c>
      <c r="K458" s="3">
        <f>(I458-G458)/G458</f>
        <v>-1.2886960610618864E-2</v>
      </c>
      <c r="L458" s="6">
        <f>ABS(J458)</f>
        <v>1.4324307874676171E-2</v>
      </c>
      <c r="M458" s="3">
        <f>ABS(K458)</f>
        <v>1.2886960610618864E-2</v>
      </c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</row>
    <row r="459" spans="1:34" x14ac:dyDescent="0.35">
      <c r="A459">
        <v>458</v>
      </c>
      <c r="B459">
        <v>22</v>
      </c>
      <c r="C459">
        <v>78</v>
      </c>
      <c r="D459">
        <v>170</v>
      </c>
      <c r="E459" t="s">
        <v>9</v>
      </c>
      <c r="F459">
        <v>430</v>
      </c>
      <c r="G459">
        <f>1284-869</f>
        <v>415</v>
      </c>
      <c r="H459">
        <v>398.352027989286</v>
      </c>
      <c r="I459">
        <v>403.02150811420802</v>
      </c>
      <c r="J459" s="6">
        <f>(H459-G459)/G459</f>
        <v>-4.0115595206539761E-2</v>
      </c>
      <c r="K459" s="3">
        <f>(I459-G459)/G459</f>
        <v>-2.8863835869378268E-2</v>
      </c>
      <c r="L459" s="6">
        <f>ABS(J459)</f>
        <v>4.0115595206539761E-2</v>
      </c>
      <c r="M459" s="3">
        <f>ABS(K459)</f>
        <v>2.8863835869378268E-2</v>
      </c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</row>
    <row r="460" spans="1:34" x14ac:dyDescent="0.35">
      <c r="A460">
        <v>459</v>
      </c>
      <c r="B460">
        <v>22</v>
      </c>
      <c r="C460">
        <v>78</v>
      </c>
      <c r="D460">
        <v>170</v>
      </c>
      <c r="E460" t="s">
        <v>9</v>
      </c>
      <c r="F460">
        <v>388</v>
      </c>
      <c r="G460">
        <f>843-458</f>
        <v>385</v>
      </c>
      <c r="H460">
        <v>380.49068121332499</v>
      </c>
      <c r="I460">
        <v>380.563313494336</v>
      </c>
      <c r="J460" s="6">
        <f>(H460-G460)/G460</f>
        <v>-1.1712516329026E-2</v>
      </c>
      <c r="K460" s="3">
        <f>(I460-G460)/G460</f>
        <v>-1.1523861053672726E-2</v>
      </c>
      <c r="L460" s="6">
        <f>ABS(J460)</f>
        <v>1.1712516329026E-2</v>
      </c>
      <c r="M460" s="3">
        <f>ABS(K460)</f>
        <v>1.1523861053672726E-2</v>
      </c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</row>
    <row r="461" spans="1:34" x14ac:dyDescent="0.35">
      <c r="A461">
        <v>460</v>
      </c>
      <c r="B461">
        <v>22</v>
      </c>
      <c r="C461">
        <v>78</v>
      </c>
      <c r="D461">
        <v>170</v>
      </c>
      <c r="E461" t="s">
        <v>9</v>
      </c>
      <c r="F461">
        <v>386</v>
      </c>
      <c r="G461">
        <f>1114-731</f>
        <v>383</v>
      </c>
      <c r="H461">
        <v>379.64014089066097</v>
      </c>
      <c r="I461">
        <v>379.84930794913498</v>
      </c>
      <c r="J461" s="6">
        <f>(H461-G461)/G461</f>
        <v>-8.772478092269E-3</v>
      </c>
      <c r="K461" s="3">
        <f>(I461-G461)/G461</f>
        <v>-8.226350002258534E-3</v>
      </c>
      <c r="L461" s="6">
        <f>ABS(J461)</f>
        <v>8.772478092269E-3</v>
      </c>
      <c r="M461" s="3">
        <f>ABS(K461)</f>
        <v>8.226350002258534E-3</v>
      </c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</row>
    <row r="462" spans="1:34" s="15" customFormat="1" x14ac:dyDescent="0.35">
      <c r="A462" s="15">
        <v>461</v>
      </c>
      <c r="B462" s="15">
        <v>22</v>
      </c>
      <c r="C462" s="15">
        <v>78</v>
      </c>
      <c r="D462" s="15">
        <v>170</v>
      </c>
      <c r="E462" s="15" t="s">
        <v>9</v>
      </c>
      <c r="F462" s="15">
        <v>116</v>
      </c>
      <c r="G462" s="15">
        <f>1117-777</f>
        <v>340</v>
      </c>
      <c r="H462" s="15">
        <v>264.81719733091597</v>
      </c>
      <c r="I462" s="15">
        <v>871.534916033944</v>
      </c>
      <c r="N462" s="15" t="s">
        <v>23</v>
      </c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</row>
    <row r="463" spans="1:34" x14ac:dyDescent="0.35">
      <c r="A463">
        <v>462</v>
      </c>
      <c r="B463">
        <v>22</v>
      </c>
      <c r="C463">
        <v>78</v>
      </c>
      <c r="D463">
        <v>170</v>
      </c>
      <c r="E463" t="s">
        <v>9</v>
      </c>
      <c r="F463">
        <v>414</v>
      </c>
      <c r="G463">
        <f>1713-1310</f>
        <v>403</v>
      </c>
      <c r="H463">
        <v>391.54770540796699</v>
      </c>
      <c r="I463">
        <v>392.12173170842698</v>
      </c>
      <c r="J463" s="6">
        <f>(H463-G463)/G463</f>
        <v>-2.8417604446732043E-2</v>
      </c>
      <c r="K463" s="3">
        <f>(I463-G463)/G463</f>
        <v>-2.6993221567178715E-2</v>
      </c>
      <c r="L463" s="6">
        <f>ABS(J463)</f>
        <v>2.8417604446732043E-2</v>
      </c>
      <c r="M463" s="3">
        <f>ABS(K463)</f>
        <v>2.6993221567178715E-2</v>
      </c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</row>
    <row r="464" spans="1:34" s="15" customFormat="1" x14ac:dyDescent="0.35">
      <c r="A464" s="15">
        <v>463</v>
      </c>
      <c r="B464" s="15">
        <v>22</v>
      </c>
      <c r="C464" s="15">
        <v>78</v>
      </c>
      <c r="D464" s="15">
        <v>170</v>
      </c>
      <c r="E464" s="15" t="s">
        <v>9</v>
      </c>
      <c r="F464" s="15">
        <v>727</v>
      </c>
      <c r="G464" s="15">
        <f>2030-1648</f>
        <v>382</v>
      </c>
      <c r="H464" s="15">
        <v>524.65726590500503</v>
      </c>
      <c r="I464" s="15">
        <v>1128.5562128317299</v>
      </c>
      <c r="N464" s="15" t="s">
        <v>23</v>
      </c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</row>
    <row r="465" spans="1:34" x14ac:dyDescent="0.35">
      <c r="A465">
        <v>464</v>
      </c>
      <c r="B465">
        <v>22</v>
      </c>
      <c r="C465">
        <v>78</v>
      </c>
      <c r="D465">
        <v>170</v>
      </c>
      <c r="E465" t="s">
        <v>9</v>
      </c>
      <c r="F465">
        <v>432</v>
      </c>
      <c r="G465">
        <f>962-558</f>
        <v>404</v>
      </c>
      <c r="H465">
        <v>399.20256831195002</v>
      </c>
      <c r="I465">
        <v>404.38398016493102</v>
      </c>
      <c r="J465" s="6">
        <f>(H465-G465)/G465</f>
        <v>-1.1874830911014808E-2</v>
      </c>
      <c r="K465" s="3">
        <f>(I465-G465)/G465</f>
        <v>9.5044595279954831E-4</v>
      </c>
      <c r="L465" s="6">
        <f>ABS(J465)</f>
        <v>1.1874830911014808E-2</v>
      </c>
      <c r="M465" s="3">
        <f>ABS(K465)</f>
        <v>9.5044595279954831E-4</v>
      </c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</row>
    <row r="466" spans="1:34" x14ac:dyDescent="0.35">
      <c r="A466">
        <v>465</v>
      </c>
      <c r="B466">
        <v>22</v>
      </c>
      <c r="C466">
        <v>78</v>
      </c>
      <c r="D466">
        <v>170</v>
      </c>
      <c r="E466" t="s">
        <v>9</v>
      </c>
      <c r="F466">
        <v>395</v>
      </c>
      <c r="G466">
        <f>1184-761</f>
        <v>423</v>
      </c>
      <c r="H466">
        <v>383.46757234265198</v>
      </c>
      <c r="I466">
        <v>383.34555823102602</v>
      </c>
      <c r="J466" s="6">
        <f>(H466-G466)/G466</f>
        <v>-9.3457275785692726E-2</v>
      </c>
      <c r="K466" s="3">
        <f>(I466-G466)/G466</f>
        <v>-9.3745725222160708E-2</v>
      </c>
      <c r="L466" s="6">
        <f>ABS(J466)</f>
        <v>9.3457275785692726E-2</v>
      </c>
      <c r="M466" s="3">
        <f>ABS(K466)</f>
        <v>9.3745725222160708E-2</v>
      </c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</row>
    <row r="467" spans="1:34" x14ac:dyDescent="0.35">
      <c r="A467">
        <v>466</v>
      </c>
      <c r="B467">
        <v>22</v>
      </c>
      <c r="C467">
        <v>78</v>
      </c>
      <c r="D467">
        <v>170</v>
      </c>
      <c r="E467" t="s">
        <v>9</v>
      </c>
      <c r="F467">
        <v>379</v>
      </c>
      <c r="G467">
        <f>1615-1233</f>
        <v>382</v>
      </c>
      <c r="H467">
        <v>376.66324976133399</v>
      </c>
      <c r="I467">
        <v>377.35028854093201</v>
      </c>
      <c r="J467" s="6">
        <f>(H467-G467)/G467</f>
        <v>-1.3970550363000035E-2</v>
      </c>
      <c r="K467" s="3">
        <f>(I467-G467)/G467</f>
        <v>-1.2172019526355988E-2</v>
      </c>
      <c r="L467" s="6">
        <f>ABS(J467)</f>
        <v>1.3970550363000035E-2</v>
      </c>
      <c r="M467" s="3">
        <f>ABS(K467)</f>
        <v>1.2172019526355988E-2</v>
      </c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</row>
    <row r="468" spans="1:34" x14ac:dyDescent="0.35">
      <c r="A468">
        <v>467</v>
      </c>
      <c r="B468">
        <v>22</v>
      </c>
      <c r="C468">
        <v>78</v>
      </c>
      <c r="D468">
        <v>170</v>
      </c>
      <c r="E468" t="s">
        <v>9</v>
      </c>
      <c r="F468">
        <v>428</v>
      </c>
      <c r="G468">
        <f>1529-1168</f>
        <v>361</v>
      </c>
      <c r="H468">
        <v>397.50148766662102</v>
      </c>
      <c r="I468">
        <v>401.65903606348502</v>
      </c>
      <c r="J468" s="6">
        <f>(H468-G468)/G468</f>
        <v>0.10111215420116625</v>
      </c>
      <c r="K468" s="3">
        <f>(I468-G468)/G468</f>
        <v>0.11262890876311639</v>
      </c>
      <c r="L468" s="6">
        <f>ABS(J468)</f>
        <v>0.10111215420116625</v>
      </c>
      <c r="M468" s="3">
        <f>ABS(K468)</f>
        <v>0.11262890876311639</v>
      </c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</row>
    <row r="469" spans="1:34" x14ac:dyDescent="0.35">
      <c r="A469">
        <v>468</v>
      </c>
      <c r="B469">
        <v>22</v>
      </c>
      <c r="C469">
        <v>78</v>
      </c>
      <c r="D469">
        <v>170</v>
      </c>
      <c r="E469" t="s">
        <v>9</v>
      </c>
      <c r="F469">
        <v>370</v>
      </c>
      <c r="G469">
        <f>1001-608</f>
        <v>393</v>
      </c>
      <c r="H469">
        <v>372.83581830934202</v>
      </c>
      <c r="I469">
        <v>375.95953690160098</v>
      </c>
      <c r="J469" s="6">
        <f>(H469-G469)/G469</f>
        <v>-5.1308350357908351E-2</v>
      </c>
      <c r="K469" s="3">
        <f>(I469-G469)/G469</f>
        <v>-4.3359956993381722E-2</v>
      </c>
      <c r="L469" s="6">
        <f>ABS(J469)</f>
        <v>5.1308350357908351E-2</v>
      </c>
      <c r="M469" s="3">
        <f>ABS(K469)</f>
        <v>4.3359956993381722E-2</v>
      </c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</row>
    <row r="470" spans="1:34" x14ac:dyDescent="0.35">
      <c r="A470">
        <v>469</v>
      </c>
      <c r="B470">
        <v>22</v>
      </c>
      <c r="C470">
        <v>78</v>
      </c>
      <c r="D470">
        <v>170</v>
      </c>
      <c r="E470" t="s">
        <v>9</v>
      </c>
      <c r="F470">
        <v>365</v>
      </c>
      <c r="G470">
        <f>1556-1200</f>
        <v>356</v>
      </c>
      <c r="H470">
        <v>370.70946750268001</v>
      </c>
      <c r="I470">
        <v>376.06711945650602</v>
      </c>
      <c r="J470" s="6">
        <f>(H470-G470)/G470</f>
        <v>4.1318728940112397E-2</v>
      </c>
      <c r="K470" s="3">
        <f>(I470-G470)/G470</f>
        <v>5.636831308007309E-2</v>
      </c>
      <c r="L470" s="6">
        <f>ABS(J470)</f>
        <v>4.1318728940112397E-2</v>
      </c>
      <c r="M470" s="3">
        <f>ABS(K470)</f>
        <v>5.636831308007309E-2</v>
      </c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</row>
    <row r="471" spans="1:34" x14ac:dyDescent="0.35">
      <c r="A471">
        <v>470</v>
      </c>
      <c r="B471">
        <v>22</v>
      </c>
      <c r="C471">
        <v>78</v>
      </c>
      <c r="D471">
        <v>170</v>
      </c>
      <c r="E471" t="s">
        <v>9</v>
      </c>
      <c r="F471">
        <v>397</v>
      </c>
      <c r="G471">
        <f>433-23</f>
        <v>410</v>
      </c>
      <c r="H471">
        <v>384.31811266531702</v>
      </c>
      <c r="I471">
        <v>384.20704783886498</v>
      </c>
      <c r="J471" s="6">
        <f>(H471-G471)/G471</f>
        <v>-6.2638749596787766E-2</v>
      </c>
      <c r="K471" s="3">
        <f>(I471-G471)/G471</f>
        <v>-6.2909639417402491E-2</v>
      </c>
      <c r="L471" s="6">
        <f>ABS(J471)</f>
        <v>6.2638749596787766E-2</v>
      </c>
      <c r="M471" s="3">
        <f>ABS(K471)</f>
        <v>6.2909639417402491E-2</v>
      </c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</row>
    <row r="472" spans="1:34" s="15" customFormat="1" x14ac:dyDescent="0.35">
      <c r="A472" s="15">
        <v>471</v>
      </c>
      <c r="B472" s="15">
        <v>22</v>
      </c>
      <c r="C472" s="15">
        <v>78</v>
      </c>
      <c r="D472" s="15">
        <v>170</v>
      </c>
      <c r="E472" s="15" t="s">
        <v>9</v>
      </c>
      <c r="F472" s="15">
        <v>182</v>
      </c>
      <c r="G472" s="15">
        <f>632-212</f>
        <v>420</v>
      </c>
      <c r="H472" s="15">
        <v>292.88502797885297</v>
      </c>
      <c r="I472" s="15">
        <v>718.57130487084396</v>
      </c>
      <c r="N472" s="15" t="s">
        <v>23</v>
      </c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</row>
    <row r="473" spans="1:34" x14ac:dyDescent="0.35">
      <c r="A473">
        <v>472</v>
      </c>
      <c r="B473">
        <v>22</v>
      </c>
      <c r="C473">
        <v>78</v>
      </c>
      <c r="D473">
        <v>170</v>
      </c>
      <c r="E473" t="s">
        <v>9</v>
      </c>
      <c r="F473">
        <v>363</v>
      </c>
      <c r="G473">
        <f>1797-1421</f>
        <v>376</v>
      </c>
      <c r="H473">
        <v>369.858927180016</v>
      </c>
      <c r="I473">
        <v>376.27787549762701</v>
      </c>
      <c r="J473" s="6">
        <f>(H473-G473)/G473</f>
        <v>-1.6332640478680861E-2</v>
      </c>
      <c r="K473" s="3">
        <f>(I473-G473)/G473</f>
        <v>7.3903057879523386E-4</v>
      </c>
      <c r="L473" s="6">
        <f>ABS(J473)</f>
        <v>1.6332640478680861E-2</v>
      </c>
      <c r="M473" s="3">
        <f>ABS(K473)</f>
        <v>7.3903057879523386E-4</v>
      </c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</row>
    <row r="474" spans="1:34" x14ac:dyDescent="0.35">
      <c r="A474">
        <v>473</v>
      </c>
      <c r="B474">
        <v>22</v>
      </c>
      <c r="C474">
        <v>78</v>
      </c>
      <c r="D474">
        <v>170</v>
      </c>
      <c r="E474" t="s">
        <v>9</v>
      </c>
      <c r="F474">
        <v>395</v>
      </c>
      <c r="G474">
        <f>1580-1218</f>
        <v>362</v>
      </c>
      <c r="H474">
        <v>383.46757234265198</v>
      </c>
      <c r="I474">
        <v>383.34555823102602</v>
      </c>
      <c r="J474" s="6">
        <f>(H474-G474)/G474</f>
        <v>5.9302686029425351E-2</v>
      </c>
      <c r="K474" s="3">
        <f>(I474-G474)/G474</f>
        <v>5.8965630472447565E-2</v>
      </c>
      <c r="L474" s="6">
        <f>ABS(J474)</f>
        <v>5.9302686029425351E-2</v>
      </c>
      <c r="M474" s="3">
        <f>ABS(K474)</f>
        <v>5.8965630472447565E-2</v>
      </c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</row>
    <row r="475" spans="1:34" x14ac:dyDescent="0.35">
      <c r="A475">
        <v>474</v>
      </c>
      <c r="B475">
        <v>22</v>
      </c>
      <c r="C475">
        <v>78</v>
      </c>
      <c r="D475">
        <v>170</v>
      </c>
      <c r="E475" t="s">
        <v>9</v>
      </c>
      <c r="F475">
        <v>414</v>
      </c>
      <c r="G475">
        <f>1827-1427</f>
        <v>400</v>
      </c>
      <c r="H475">
        <v>391.54770540796699</v>
      </c>
      <c r="I475">
        <v>392.12173170842698</v>
      </c>
      <c r="J475" s="6">
        <f>(H475-G475)/G475</f>
        <v>-2.1130736480082533E-2</v>
      </c>
      <c r="K475" s="3">
        <f>(I475-G475)/G475</f>
        <v>-1.9695670728932555E-2</v>
      </c>
      <c r="L475" s="6">
        <f>ABS(J475)</f>
        <v>2.1130736480082533E-2</v>
      </c>
      <c r="M475" s="3">
        <f>ABS(K475)</f>
        <v>1.9695670728932555E-2</v>
      </c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</row>
    <row r="476" spans="1:34" x14ac:dyDescent="0.35">
      <c r="A476">
        <v>475</v>
      </c>
      <c r="B476">
        <v>22</v>
      </c>
      <c r="C476">
        <v>78</v>
      </c>
      <c r="D476">
        <v>170</v>
      </c>
      <c r="E476" t="s">
        <v>9</v>
      </c>
      <c r="F476">
        <v>367</v>
      </c>
      <c r="G476">
        <f>1073-724</f>
        <v>349</v>
      </c>
      <c r="H476">
        <v>371.560007825345</v>
      </c>
      <c r="I476">
        <v>375.99591536685898</v>
      </c>
      <c r="J476" s="6">
        <f>(H476-G476)/G476</f>
        <v>6.4641856233080219E-2</v>
      </c>
      <c r="K476" s="3">
        <f>(I476-G476)/G476</f>
        <v>7.7352193028249222E-2</v>
      </c>
      <c r="L476" s="6">
        <f>ABS(J476)</f>
        <v>6.4641856233080219E-2</v>
      </c>
      <c r="M476" s="3">
        <f>ABS(K476)</f>
        <v>7.7352193028249222E-2</v>
      </c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</row>
    <row r="477" spans="1:34" x14ac:dyDescent="0.35">
      <c r="A477">
        <v>476</v>
      </c>
      <c r="B477">
        <v>22</v>
      </c>
      <c r="C477">
        <v>78</v>
      </c>
      <c r="D477">
        <v>170</v>
      </c>
      <c r="E477" t="s">
        <v>9</v>
      </c>
      <c r="F477">
        <v>399</v>
      </c>
      <c r="G477">
        <f>1143-740</f>
        <v>403</v>
      </c>
      <c r="H477">
        <v>385.168652987982</v>
      </c>
      <c r="I477">
        <v>385.068537446704</v>
      </c>
      <c r="J477" s="6">
        <f>(H477-G477)/G477</f>
        <v>-4.4246518640243176E-2</v>
      </c>
      <c r="K477" s="3">
        <f>(I477-G477)/G477</f>
        <v>-4.4494944300982629E-2</v>
      </c>
      <c r="L477" s="6">
        <f>ABS(J477)</f>
        <v>4.4246518640243176E-2</v>
      </c>
      <c r="M477" s="3">
        <f>ABS(K477)</f>
        <v>4.4494944300982629E-2</v>
      </c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</row>
    <row r="478" spans="1:34" x14ac:dyDescent="0.35">
      <c r="A478">
        <v>477</v>
      </c>
      <c r="B478">
        <v>22</v>
      </c>
      <c r="C478">
        <v>78</v>
      </c>
      <c r="D478">
        <v>170</v>
      </c>
      <c r="E478" t="s">
        <v>9</v>
      </c>
      <c r="F478">
        <v>417</v>
      </c>
      <c r="G478">
        <f>932-539</f>
        <v>393</v>
      </c>
      <c r="H478">
        <v>392.82351589196497</v>
      </c>
      <c r="I478">
        <v>394.16543978451102</v>
      </c>
      <c r="J478" s="6">
        <f>(H478-G478)/G478</f>
        <v>-4.4906897718836278E-4</v>
      </c>
      <c r="K478" s="3">
        <f>(I478-G478)/G478</f>
        <v>2.9654956348880981E-3</v>
      </c>
      <c r="L478" s="6">
        <f>ABS(J478)</f>
        <v>4.4906897718836278E-4</v>
      </c>
      <c r="M478" s="3">
        <f>ABS(K478)</f>
        <v>2.9654956348880981E-3</v>
      </c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</row>
    <row r="479" spans="1:34" x14ac:dyDescent="0.35">
      <c r="A479">
        <v>478</v>
      </c>
      <c r="B479">
        <v>22</v>
      </c>
      <c r="C479">
        <v>78</v>
      </c>
      <c r="D479">
        <v>170</v>
      </c>
      <c r="E479" t="s">
        <v>9</v>
      </c>
      <c r="F479">
        <v>381</v>
      </c>
      <c r="G479">
        <f>1335-935</f>
        <v>400</v>
      </c>
      <c r="H479">
        <v>377.51379008399903</v>
      </c>
      <c r="I479">
        <v>378.06429408613297</v>
      </c>
      <c r="J479" s="6">
        <f>(H479-G479)/G479</f>
        <v>-5.6215524790002434E-2</v>
      </c>
      <c r="K479" s="3">
        <f>(I479-G479)/G479</f>
        <v>-5.4839264784667566E-2</v>
      </c>
      <c r="L479" s="6">
        <f>ABS(J479)</f>
        <v>5.6215524790002434E-2</v>
      </c>
      <c r="M479" s="3">
        <f>ABS(K479)</f>
        <v>5.4839264784667566E-2</v>
      </c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</row>
    <row r="480" spans="1:34" x14ac:dyDescent="0.35">
      <c r="A480">
        <v>479</v>
      </c>
      <c r="B480">
        <v>22</v>
      </c>
      <c r="C480">
        <v>78</v>
      </c>
      <c r="D480">
        <v>170</v>
      </c>
      <c r="E480" t="s">
        <v>9</v>
      </c>
      <c r="F480">
        <v>412</v>
      </c>
      <c r="G480">
        <f>1676-1331</f>
        <v>345</v>
      </c>
      <c r="H480">
        <v>390.69716508530303</v>
      </c>
      <c r="I480">
        <v>390.99151157000898</v>
      </c>
      <c r="J480" s="6">
        <f>(H480-G480)/G480</f>
        <v>0.13245555097189282</v>
      </c>
      <c r="K480" s="3">
        <f>(I480-G480)/G480</f>
        <v>0.13330872918843184</v>
      </c>
      <c r="L480" s="6">
        <f>ABS(J480)</f>
        <v>0.13245555097189282</v>
      </c>
      <c r="M480" s="3">
        <f>ABS(K480)</f>
        <v>0.13330872918843184</v>
      </c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</row>
    <row r="481" spans="1:34" s="15" customFormat="1" x14ac:dyDescent="0.35">
      <c r="A481" s="15">
        <v>480</v>
      </c>
      <c r="B481" s="15">
        <v>22</v>
      </c>
      <c r="C481" s="15">
        <v>78</v>
      </c>
      <c r="D481" s="15">
        <v>170</v>
      </c>
      <c r="E481" s="15" t="s">
        <v>9</v>
      </c>
      <c r="F481" s="15">
        <v>776</v>
      </c>
      <c r="G481" s="15">
        <f>1183-790</f>
        <v>393</v>
      </c>
      <c r="H481" s="15">
        <v>545.49550381029201</v>
      </c>
      <c r="I481" s="15">
        <v>1265.3117757227201</v>
      </c>
      <c r="N481" s="15" t="s">
        <v>23</v>
      </c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</row>
    <row r="482" spans="1:34" x14ac:dyDescent="0.35">
      <c r="A482">
        <v>481</v>
      </c>
      <c r="B482">
        <v>22</v>
      </c>
      <c r="C482">
        <v>78</v>
      </c>
      <c r="D482">
        <v>170</v>
      </c>
      <c r="E482" t="s">
        <v>9</v>
      </c>
      <c r="F482">
        <v>358</v>
      </c>
      <c r="G482">
        <f>1132-763</f>
        <v>369</v>
      </c>
      <c r="H482">
        <v>367.73257637335399</v>
      </c>
      <c r="I482">
        <v>376.92694314965598</v>
      </c>
      <c r="J482" s="6">
        <f>(H482-G482)/G482</f>
        <v>-3.4347523757344363E-3</v>
      </c>
      <c r="K482" s="3">
        <f>(I482-G482)/G482</f>
        <v>2.1482230757875292E-2</v>
      </c>
      <c r="L482" s="6">
        <f>ABS(J482)</f>
        <v>3.4347523757344363E-3</v>
      </c>
      <c r="M482" s="3">
        <f>ABS(K482)</f>
        <v>2.1482230757875292E-2</v>
      </c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</row>
    <row r="483" spans="1:34" x14ac:dyDescent="0.35">
      <c r="A483">
        <v>482</v>
      </c>
      <c r="B483">
        <v>22</v>
      </c>
      <c r="C483">
        <v>78</v>
      </c>
      <c r="D483">
        <v>170</v>
      </c>
      <c r="E483" t="s">
        <v>9</v>
      </c>
      <c r="F483">
        <v>365</v>
      </c>
      <c r="G483">
        <f>647-284</f>
        <v>363</v>
      </c>
      <c r="H483">
        <v>370.70946750268001</v>
      </c>
      <c r="I483">
        <v>376.06711945650602</v>
      </c>
      <c r="J483" s="6">
        <f>(H483-G483)/G483</f>
        <v>2.1238202486721799E-2</v>
      </c>
      <c r="K483" s="3">
        <f>(I483-G483)/G483</f>
        <v>3.5997574260347165E-2</v>
      </c>
      <c r="L483" s="6">
        <f>ABS(J483)</f>
        <v>2.1238202486721799E-2</v>
      </c>
      <c r="M483" s="3">
        <f>ABS(K483)</f>
        <v>3.5997574260347165E-2</v>
      </c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</row>
    <row r="484" spans="1:34" x14ac:dyDescent="0.35">
      <c r="A484">
        <v>483</v>
      </c>
      <c r="B484">
        <v>22</v>
      </c>
      <c r="C484">
        <v>78</v>
      </c>
      <c r="D484">
        <v>170</v>
      </c>
      <c r="E484" t="s">
        <v>9</v>
      </c>
      <c r="F484">
        <v>398</v>
      </c>
      <c r="G484">
        <f>1209-831</f>
        <v>378</v>
      </c>
      <c r="H484">
        <v>384.743382826649</v>
      </c>
      <c r="I484">
        <v>384.63779264278401</v>
      </c>
      <c r="J484" s="6">
        <f>(H484-G484)/G484</f>
        <v>1.783963710753703E-2</v>
      </c>
      <c r="K484" s="3">
        <f>(I484-G484)/G484</f>
        <v>1.7560297996783086E-2</v>
      </c>
      <c r="L484" s="6">
        <f>ABS(J484)</f>
        <v>1.783963710753703E-2</v>
      </c>
      <c r="M484" s="3">
        <f>ABS(K484)</f>
        <v>1.7560297996783086E-2</v>
      </c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</row>
    <row r="485" spans="1:34" x14ac:dyDescent="0.35">
      <c r="A485">
        <v>484</v>
      </c>
      <c r="B485">
        <v>22</v>
      </c>
      <c r="C485">
        <v>78</v>
      </c>
      <c r="D485">
        <v>170</v>
      </c>
      <c r="E485" t="s">
        <v>9</v>
      </c>
      <c r="F485">
        <v>396</v>
      </c>
      <c r="G485">
        <f>917-507</f>
        <v>410</v>
      </c>
      <c r="H485">
        <v>383.89284250398401</v>
      </c>
      <c r="I485">
        <v>383.77630303494601</v>
      </c>
      <c r="J485" s="6">
        <f>(H485-G485)/G485</f>
        <v>-6.3675993892721924E-2</v>
      </c>
      <c r="K485" s="3">
        <f>(I485-G485)/G485</f>
        <v>-6.3960236500131676E-2</v>
      </c>
      <c r="L485" s="6">
        <f>ABS(J485)</f>
        <v>6.3675993892721924E-2</v>
      </c>
      <c r="M485" s="3">
        <f>ABS(K485)</f>
        <v>6.3960236500131676E-2</v>
      </c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</row>
    <row r="486" spans="1:34" x14ac:dyDescent="0.35">
      <c r="A486">
        <v>485</v>
      </c>
      <c r="B486">
        <v>22</v>
      </c>
      <c r="C486">
        <v>78</v>
      </c>
      <c r="D486">
        <v>170</v>
      </c>
      <c r="E486" t="s">
        <v>9</v>
      </c>
      <c r="F486">
        <v>346</v>
      </c>
      <c r="G486">
        <f>798-444</f>
        <v>354</v>
      </c>
      <c r="H486">
        <v>362.629334437365</v>
      </c>
      <c r="I486">
        <v>381.85695871825999</v>
      </c>
      <c r="J486" s="6">
        <f>(H486-G486)/G486</f>
        <v>2.4376650953008484E-2</v>
      </c>
      <c r="K486" s="3">
        <f>(I486-G486)/G486</f>
        <v>7.8691973780395455E-2</v>
      </c>
      <c r="L486" s="6">
        <f>ABS(J486)</f>
        <v>2.4376650953008484E-2</v>
      </c>
      <c r="M486" s="3">
        <f>ABS(K486)</f>
        <v>7.8691973780395455E-2</v>
      </c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</row>
    <row r="487" spans="1:34" x14ac:dyDescent="0.35">
      <c r="A487">
        <v>486</v>
      </c>
      <c r="B487">
        <v>22</v>
      </c>
      <c r="C487">
        <v>78</v>
      </c>
      <c r="D487">
        <v>170</v>
      </c>
      <c r="E487" t="s">
        <v>9</v>
      </c>
      <c r="F487">
        <v>380</v>
      </c>
      <c r="G487">
        <f>1175-778</f>
        <v>397</v>
      </c>
      <c r="H487">
        <v>377.08851992266602</v>
      </c>
      <c r="I487">
        <v>377.70729131353198</v>
      </c>
      <c r="J487" s="6">
        <f>(H487-G487)/G487</f>
        <v>-5.0154861655753093E-2</v>
      </c>
      <c r="K487" s="3">
        <f>(I487-G487)/G487</f>
        <v>-4.85962435427406E-2</v>
      </c>
      <c r="L487" s="6">
        <f>ABS(J487)</f>
        <v>5.0154861655753093E-2</v>
      </c>
      <c r="M487" s="3">
        <f>ABS(K487)</f>
        <v>4.85962435427406E-2</v>
      </c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</row>
    <row r="488" spans="1:34" x14ac:dyDescent="0.35">
      <c r="A488">
        <v>487</v>
      </c>
      <c r="B488">
        <v>22</v>
      </c>
      <c r="C488">
        <v>78</v>
      </c>
      <c r="D488">
        <v>170</v>
      </c>
      <c r="E488" t="s">
        <v>9</v>
      </c>
      <c r="F488">
        <v>380</v>
      </c>
      <c r="G488">
        <f>739-391</f>
        <v>348</v>
      </c>
      <c r="H488">
        <v>377.08851992266602</v>
      </c>
      <c r="I488">
        <v>377.70729131353198</v>
      </c>
      <c r="J488" s="6">
        <f>(H488-G488)/G488</f>
        <v>8.3587700927201219E-2</v>
      </c>
      <c r="K488" s="3">
        <f>(I488-G488)/G488</f>
        <v>8.5365779636586162E-2</v>
      </c>
      <c r="L488" s="6">
        <f>ABS(J488)</f>
        <v>8.3587700927201219E-2</v>
      </c>
      <c r="M488" s="3">
        <f>ABS(K488)</f>
        <v>8.5365779636586162E-2</v>
      </c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</row>
    <row r="489" spans="1:34" x14ac:dyDescent="0.35">
      <c r="A489">
        <v>488</v>
      </c>
      <c r="B489">
        <v>22</v>
      </c>
      <c r="C489">
        <v>78</v>
      </c>
      <c r="D489">
        <v>170</v>
      </c>
      <c r="E489" t="s">
        <v>9</v>
      </c>
      <c r="F489">
        <v>406</v>
      </c>
      <c r="G489">
        <f>1196-811</f>
        <v>385</v>
      </c>
      <c r="H489">
        <v>388.14554411730802</v>
      </c>
      <c r="I489">
        <v>388.10121715021597</v>
      </c>
      <c r="J489" s="6">
        <f>(H489-G489)/G489</f>
        <v>8.1702444605403126E-3</v>
      </c>
      <c r="K489" s="3">
        <f>(I489-G489)/G489</f>
        <v>8.0551094810804493E-3</v>
      </c>
      <c r="L489" s="6">
        <f>ABS(J489)</f>
        <v>8.1702444605403126E-3</v>
      </c>
      <c r="M489" s="3">
        <f>ABS(K489)</f>
        <v>8.0551094810804493E-3</v>
      </c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</row>
    <row r="490" spans="1:34" s="13" customFormat="1" x14ac:dyDescent="0.35">
      <c r="A490" s="13">
        <v>489</v>
      </c>
      <c r="B490" s="13">
        <v>22</v>
      </c>
      <c r="C490" s="13">
        <v>78</v>
      </c>
      <c r="D490" s="13">
        <v>170</v>
      </c>
      <c r="E490" s="13" t="s">
        <v>9</v>
      </c>
      <c r="F490" s="13">
        <v>1214</v>
      </c>
      <c r="G490" s="13">
        <f>1003-620</f>
        <v>383</v>
      </c>
      <c r="H490" s="13">
        <v>731.763834473879</v>
      </c>
      <c r="I490" s="13">
        <v>2492.7118179827899</v>
      </c>
      <c r="N490" s="13" t="s">
        <v>24</v>
      </c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</row>
    <row r="491" spans="1:34" x14ac:dyDescent="0.35">
      <c r="A491">
        <v>490</v>
      </c>
      <c r="B491">
        <v>22</v>
      </c>
      <c r="C491">
        <v>78</v>
      </c>
      <c r="D491">
        <v>170</v>
      </c>
      <c r="E491" t="s">
        <v>9</v>
      </c>
      <c r="F491">
        <v>378</v>
      </c>
      <c r="G491">
        <f>686-315</f>
        <v>371</v>
      </c>
      <c r="H491">
        <v>376.23797960000098</v>
      </c>
      <c r="I491">
        <v>377.00153686334397</v>
      </c>
      <c r="J491" s="6">
        <f>(H491-G491)/G491</f>
        <v>1.4118543396229066E-2</v>
      </c>
      <c r="K491" s="3">
        <f>(I491-G491)/G491</f>
        <v>1.6176649227342244E-2</v>
      </c>
      <c r="L491" s="6">
        <f>ABS(J491)</f>
        <v>1.4118543396229066E-2</v>
      </c>
      <c r="M491" s="3">
        <f>ABS(K491)</f>
        <v>1.6176649227342244E-2</v>
      </c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</row>
    <row r="492" spans="1:34" x14ac:dyDescent="0.35">
      <c r="A492">
        <v>491</v>
      </c>
      <c r="B492">
        <v>22</v>
      </c>
      <c r="C492">
        <v>78</v>
      </c>
      <c r="D492">
        <v>170</v>
      </c>
      <c r="E492" t="s">
        <v>9</v>
      </c>
      <c r="F492">
        <v>413</v>
      </c>
      <c r="G492">
        <f>1082-698</f>
        <v>384</v>
      </c>
      <c r="H492">
        <v>391.12243524663501</v>
      </c>
      <c r="I492">
        <v>391.473227306642</v>
      </c>
      <c r="J492" s="6">
        <f>(H492-G492)/G492</f>
        <v>1.8548008454778664E-2</v>
      </c>
      <c r="K492" s="3">
        <f>(I492-G492)/G492</f>
        <v>1.9461529444380215E-2</v>
      </c>
      <c r="L492" s="6">
        <f>ABS(J492)</f>
        <v>1.8548008454778664E-2</v>
      </c>
      <c r="M492" s="3">
        <f>ABS(K492)</f>
        <v>1.9461529444380215E-2</v>
      </c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</row>
    <row r="493" spans="1:34" x14ac:dyDescent="0.35">
      <c r="A493">
        <v>492</v>
      </c>
      <c r="B493">
        <v>22</v>
      </c>
      <c r="C493">
        <v>78</v>
      </c>
      <c r="D493">
        <v>170</v>
      </c>
      <c r="E493" t="s">
        <v>9</v>
      </c>
      <c r="F493">
        <v>411</v>
      </c>
      <c r="G493">
        <f>1318-958</f>
        <v>360</v>
      </c>
      <c r="H493">
        <v>390.27189492397002</v>
      </c>
      <c r="I493">
        <v>390.50979583337698</v>
      </c>
      <c r="J493" s="6">
        <f>(H493-G493)/G493</f>
        <v>8.4088597011027846E-2</v>
      </c>
      <c r="K493" s="3">
        <f>(I493-G493)/G493</f>
        <v>8.4749432870491623E-2</v>
      </c>
      <c r="L493" s="6">
        <f>ABS(J493)</f>
        <v>8.4088597011027846E-2</v>
      </c>
      <c r="M493" s="3">
        <f>ABS(K493)</f>
        <v>8.4749432870491623E-2</v>
      </c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</row>
    <row r="494" spans="1:34" x14ac:dyDescent="0.35">
      <c r="A494">
        <v>493</v>
      </c>
      <c r="B494">
        <v>22</v>
      </c>
      <c r="C494">
        <v>78</v>
      </c>
      <c r="D494">
        <v>170</v>
      </c>
      <c r="E494" t="s">
        <v>9</v>
      </c>
      <c r="F494">
        <v>412</v>
      </c>
      <c r="G494">
        <f>731-349</f>
        <v>382</v>
      </c>
      <c r="H494">
        <v>390.69716508530303</v>
      </c>
      <c r="I494">
        <v>390.99151157000898</v>
      </c>
      <c r="J494" s="6">
        <f>(H494-G494)/G494</f>
        <v>2.276744786728541E-2</v>
      </c>
      <c r="K494" s="3">
        <f>(I494-G494)/G494</f>
        <v>2.3537988403164872E-2</v>
      </c>
      <c r="L494" s="6">
        <f>ABS(J494)</f>
        <v>2.276744786728541E-2</v>
      </c>
      <c r="M494" s="3">
        <f>ABS(K494)</f>
        <v>2.3537988403164872E-2</v>
      </c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</row>
    <row r="495" spans="1:34" x14ac:dyDescent="0.35">
      <c r="A495">
        <v>494</v>
      </c>
      <c r="B495">
        <v>22</v>
      </c>
      <c r="C495">
        <v>78</v>
      </c>
      <c r="D495">
        <v>170</v>
      </c>
      <c r="E495" t="s">
        <v>9</v>
      </c>
      <c r="F495">
        <v>379</v>
      </c>
      <c r="G495">
        <f>1014-663</f>
        <v>351</v>
      </c>
      <c r="H495">
        <v>376.66324976133399</v>
      </c>
      <c r="I495">
        <v>377.35028854093201</v>
      </c>
      <c r="J495" s="6">
        <f>(H495-G495)/G495</f>
        <v>7.311467168471221E-2</v>
      </c>
      <c r="K495" s="3">
        <f>(I495-G495)/G495</f>
        <v>7.5072047125162425E-2</v>
      </c>
      <c r="L495" s="6">
        <f>ABS(J495)</f>
        <v>7.311467168471221E-2</v>
      </c>
      <c r="M495" s="3">
        <f>ABS(K495)</f>
        <v>7.5072047125162425E-2</v>
      </c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</row>
    <row r="496" spans="1:34" x14ac:dyDescent="0.35">
      <c r="A496">
        <v>495</v>
      </c>
      <c r="B496">
        <v>22</v>
      </c>
      <c r="C496">
        <v>78</v>
      </c>
      <c r="D496">
        <v>170</v>
      </c>
      <c r="E496" t="s">
        <v>9</v>
      </c>
      <c r="F496">
        <v>381</v>
      </c>
      <c r="G496">
        <f>1321-944</f>
        <v>377</v>
      </c>
      <c r="H496">
        <v>377.51379008399903</v>
      </c>
      <c r="I496">
        <v>378.06429408613297</v>
      </c>
      <c r="J496" s="6">
        <f>(H496-G496)/G496</f>
        <v>1.3628384190955613E-3</v>
      </c>
      <c r="K496" s="3">
        <f>(I496-G496)/G496</f>
        <v>2.8230612364269891E-3</v>
      </c>
      <c r="L496" s="6">
        <f>ABS(J496)</f>
        <v>1.3628384190955613E-3</v>
      </c>
      <c r="M496" s="3">
        <f>ABS(K496)</f>
        <v>2.8230612364269891E-3</v>
      </c>
      <c r="O496" s="20"/>
      <c r="P496" s="20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</row>
    <row r="497" spans="1:34" x14ac:dyDescent="0.35">
      <c r="A497">
        <v>496</v>
      </c>
      <c r="B497">
        <v>22</v>
      </c>
      <c r="C497">
        <v>78</v>
      </c>
      <c r="D497">
        <v>170</v>
      </c>
      <c r="E497" t="s">
        <v>9</v>
      </c>
      <c r="F497">
        <v>397</v>
      </c>
      <c r="G497">
        <f>674-303</f>
        <v>371</v>
      </c>
      <c r="H497">
        <v>384.31811266531702</v>
      </c>
      <c r="I497">
        <v>384.20704783886498</v>
      </c>
      <c r="J497" s="6">
        <f>(H497-G497)/G497</f>
        <v>3.5897877804088991E-2</v>
      </c>
      <c r="K497" s="3">
        <f>(I497-G497)/G497</f>
        <v>3.5598511695053854E-2</v>
      </c>
      <c r="L497" s="6">
        <f>ABS(J497)</f>
        <v>3.5897877804088991E-2</v>
      </c>
      <c r="M497" s="3">
        <f>ABS(K497)</f>
        <v>3.5598511695053854E-2</v>
      </c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</row>
    <row r="498" spans="1:34" s="13" customFormat="1" x14ac:dyDescent="0.35">
      <c r="A498" s="13">
        <v>497</v>
      </c>
      <c r="B498" s="13">
        <v>22</v>
      </c>
      <c r="C498" s="13">
        <v>78</v>
      </c>
      <c r="D498" s="13">
        <v>170</v>
      </c>
      <c r="E498" s="13" t="s">
        <v>9</v>
      </c>
      <c r="F498" s="13">
        <v>148</v>
      </c>
      <c r="G498" s="13">
        <f>668-258</f>
        <v>410</v>
      </c>
      <c r="H498" s="13">
        <v>278.42584249355201</v>
      </c>
      <c r="I498" s="13">
        <v>797.37074092456203</v>
      </c>
      <c r="N498" s="13" t="s">
        <v>24</v>
      </c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</row>
    <row r="499" spans="1:34" x14ac:dyDescent="0.35">
      <c r="A499">
        <v>498</v>
      </c>
      <c r="B499">
        <v>22</v>
      </c>
      <c r="C499">
        <v>78</v>
      </c>
      <c r="D499">
        <v>170</v>
      </c>
      <c r="E499" t="s">
        <v>9</v>
      </c>
      <c r="F499">
        <v>396</v>
      </c>
      <c r="G499">
        <f>1270-859</f>
        <v>411</v>
      </c>
      <c r="H499">
        <v>383.89284250398401</v>
      </c>
      <c r="I499">
        <v>383.77630303494601</v>
      </c>
      <c r="J499" s="6">
        <f>(H499-G499)/G499</f>
        <v>-6.5954154491523087E-2</v>
      </c>
      <c r="K499" s="3">
        <f>(I499-G499)/G499</f>
        <v>-6.6237705511080269E-2</v>
      </c>
      <c r="L499" s="6">
        <f>ABS(J499)</f>
        <v>6.5954154491523087E-2</v>
      </c>
      <c r="M499" s="3">
        <f>ABS(K499)</f>
        <v>6.6237705511080269E-2</v>
      </c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</row>
    <row r="500" spans="1:34" x14ac:dyDescent="0.35">
      <c r="A500">
        <v>499</v>
      </c>
      <c r="B500">
        <v>22</v>
      </c>
      <c r="C500">
        <v>78</v>
      </c>
      <c r="D500">
        <v>170</v>
      </c>
      <c r="E500" t="s">
        <v>9</v>
      </c>
      <c r="F500">
        <v>394</v>
      </c>
      <c r="G500">
        <f>364-0</f>
        <v>364</v>
      </c>
      <c r="H500">
        <v>383.04230218132</v>
      </c>
      <c r="I500">
        <v>382.91481342710699</v>
      </c>
      <c r="J500" s="6">
        <f>(H500-G500)/G500</f>
        <v>5.2314016981648344E-2</v>
      </c>
      <c r="K500" s="3">
        <f>(I500-G500)/G500</f>
        <v>5.1963773151392834E-2</v>
      </c>
      <c r="L500" s="6">
        <f>ABS(J500)</f>
        <v>5.2314016981648344E-2</v>
      </c>
      <c r="M500" s="3">
        <f>ABS(K500)</f>
        <v>5.1963773151392834E-2</v>
      </c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</row>
    <row r="501" spans="1:34" x14ac:dyDescent="0.35">
      <c r="A501">
        <v>500</v>
      </c>
      <c r="B501">
        <v>22</v>
      </c>
      <c r="C501">
        <v>78</v>
      </c>
      <c r="D501">
        <v>170</v>
      </c>
      <c r="E501" t="s">
        <v>9</v>
      </c>
      <c r="F501">
        <v>412</v>
      </c>
      <c r="G501">
        <f>614-260</f>
        <v>354</v>
      </c>
      <c r="H501">
        <v>390.69716508530303</v>
      </c>
      <c r="I501">
        <v>390.99151157000898</v>
      </c>
      <c r="J501" s="6">
        <f>(H501-G501)/G501</f>
        <v>0.10366430815057352</v>
      </c>
      <c r="K501" s="3">
        <f>(I501-G501)/G501</f>
        <v>0.1044957953955056</v>
      </c>
      <c r="L501" s="6">
        <f>ABS(J501)</f>
        <v>0.10366430815057352</v>
      </c>
      <c r="M501" s="3">
        <f>ABS(K501)</f>
        <v>0.1044957953955056</v>
      </c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</row>
    <row r="502" spans="1:34" x14ac:dyDescent="0.35">
      <c r="A502">
        <v>501</v>
      </c>
      <c r="B502">
        <v>22</v>
      </c>
      <c r="C502">
        <v>78</v>
      </c>
      <c r="D502">
        <v>170</v>
      </c>
      <c r="E502" t="s">
        <v>9</v>
      </c>
      <c r="F502">
        <v>396</v>
      </c>
      <c r="G502">
        <f>277-0</f>
        <v>277</v>
      </c>
      <c r="H502">
        <v>383.89284250398401</v>
      </c>
      <c r="I502">
        <v>383.77630303494601</v>
      </c>
      <c r="J502" s="6">
        <f>(H502-G502)/G502</f>
        <v>0.38589473828153076</v>
      </c>
      <c r="K502" s="3">
        <f>(I502-G502)/G502</f>
        <v>0.38547401817670041</v>
      </c>
      <c r="L502" s="6">
        <f>ABS(J502)</f>
        <v>0.38589473828153076</v>
      </c>
      <c r="M502" s="3">
        <f>ABS(K502)</f>
        <v>0.38547401817670041</v>
      </c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</row>
    <row r="503" spans="1:34" x14ac:dyDescent="0.35">
      <c r="A503">
        <v>502</v>
      </c>
      <c r="B503">
        <v>22</v>
      </c>
      <c r="C503">
        <v>78</v>
      </c>
      <c r="D503">
        <v>170</v>
      </c>
      <c r="E503" t="s">
        <v>9</v>
      </c>
      <c r="F503">
        <v>412</v>
      </c>
      <c r="G503">
        <f>1260-874</f>
        <v>386</v>
      </c>
      <c r="H503">
        <v>390.69716508530303</v>
      </c>
      <c r="I503">
        <v>390.99151157000898</v>
      </c>
      <c r="J503" s="6">
        <f>(H503-G503)/G503</f>
        <v>1.2168821464515613E-2</v>
      </c>
      <c r="K503" s="3">
        <f>(I503-G503)/G503</f>
        <v>1.2931377124375599E-2</v>
      </c>
      <c r="L503" s="6">
        <f>ABS(J503)</f>
        <v>1.2168821464515613E-2</v>
      </c>
      <c r="M503" s="3">
        <f>ABS(K503)</f>
        <v>1.2931377124375599E-2</v>
      </c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</row>
    <row r="504" spans="1:34" x14ac:dyDescent="0.35">
      <c r="A504">
        <v>503</v>
      </c>
      <c r="B504">
        <v>22</v>
      </c>
      <c r="C504">
        <v>78</v>
      </c>
      <c r="D504">
        <v>170</v>
      </c>
      <c r="E504" t="s">
        <v>9</v>
      </c>
      <c r="F504">
        <v>412</v>
      </c>
      <c r="G504">
        <f>402-16</f>
        <v>386</v>
      </c>
      <c r="H504">
        <v>390.69716508530303</v>
      </c>
      <c r="I504">
        <v>390.99151157000898</v>
      </c>
      <c r="J504" s="6">
        <f>(H504-G504)/G504</f>
        <v>1.2168821464515613E-2</v>
      </c>
      <c r="K504" s="3">
        <f>(I504-G504)/G504</f>
        <v>1.2931377124375599E-2</v>
      </c>
      <c r="L504" s="6">
        <f>ABS(J504)</f>
        <v>1.2168821464515613E-2</v>
      </c>
      <c r="M504" s="3">
        <f>ABS(K504)</f>
        <v>1.2931377124375599E-2</v>
      </c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</row>
    <row r="505" spans="1:34" x14ac:dyDescent="0.35">
      <c r="A505">
        <v>504</v>
      </c>
      <c r="B505">
        <v>22</v>
      </c>
      <c r="C505">
        <v>78</v>
      </c>
      <c r="D505">
        <v>170</v>
      </c>
      <c r="E505" t="s">
        <v>9</v>
      </c>
      <c r="F505">
        <v>379</v>
      </c>
      <c r="G505">
        <f>793-382</f>
        <v>411</v>
      </c>
      <c r="H505">
        <v>376.66324976133399</v>
      </c>
      <c r="I505">
        <v>377.35028854093201</v>
      </c>
      <c r="J505" s="6">
        <f>(H505-G505)/G505</f>
        <v>-8.3544404473639935E-2</v>
      </c>
      <c r="K505" s="3">
        <f>(I505-G505)/G505</f>
        <v>-8.1872777272671504E-2</v>
      </c>
      <c r="L505" s="6">
        <f>ABS(J505)</f>
        <v>8.3544404473639935E-2</v>
      </c>
      <c r="M505" s="3">
        <f>ABS(K505)</f>
        <v>8.1872777272671504E-2</v>
      </c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</row>
    <row r="506" spans="1:34" x14ac:dyDescent="0.35">
      <c r="A506">
        <v>505</v>
      </c>
      <c r="B506">
        <v>22</v>
      </c>
      <c r="C506">
        <v>78</v>
      </c>
      <c r="D506">
        <v>170</v>
      </c>
      <c r="E506" t="s">
        <v>9</v>
      </c>
      <c r="F506">
        <v>380</v>
      </c>
      <c r="G506">
        <f>1172-781</f>
        <v>391</v>
      </c>
      <c r="H506">
        <v>377.08851992266602</v>
      </c>
      <c r="I506">
        <v>377.70729131353198</v>
      </c>
      <c r="J506" s="6">
        <f>(H506-G506)/G506</f>
        <v>-3.5579232934357996E-2</v>
      </c>
      <c r="K506" s="3">
        <f>(I506-G506)/G506</f>
        <v>-3.3996697407846596E-2</v>
      </c>
      <c r="L506" s="6">
        <f>ABS(J506)</f>
        <v>3.5579232934357996E-2</v>
      </c>
      <c r="M506" s="3">
        <f>ABS(K506)</f>
        <v>3.3996697407846596E-2</v>
      </c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</row>
    <row r="507" spans="1:34" x14ac:dyDescent="0.35">
      <c r="A507">
        <v>506</v>
      </c>
      <c r="B507">
        <v>22</v>
      </c>
      <c r="C507">
        <v>78</v>
      </c>
      <c r="D507">
        <v>170</v>
      </c>
      <c r="E507" t="s">
        <v>9</v>
      </c>
      <c r="F507">
        <v>380</v>
      </c>
      <c r="G507">
        <f>645-202</f>
        <v>443</v>
      </c>
      <c r="H507">
        <v>377.08851992266602</v>
      </c>
      <c r="I507">
        <v>377.70729131353198</v>
      </c>
      <c r="J507" s="6">
        <f>(H507-G507)/G507</f>
        <v>-0.14878437940707445</v>
      </c>
      <c r="K507" s="3">
        <f>(I507-G507)/G507</f>
        <v>-0.14738760425839281</v>
      </c>
      <c r="L507" s="6">
        <f>ABS(J507)</f>
        <v>0.14878437940707445</v>
      </c>
      <c r="M507" s="3">
        <f>ABS(K507)</f>
        <v>0.14738760425839281</v>
      </c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</row>
    <row r="508" spans="1:34" x14ac:dyDescent="0.35">
      <c r="A508">
        <v>507</v>
      </c>
      <c r="B508">
        <v>22</v>
      </c>
      <c r="C508">
        <v>78</v>
      </c>
      <c r="D508">
        <v>170</v>
      </c>
      <c r="E508" t="s">
        <v>9</v>
      </c>
      <c r="F508">
        <v>331</v>
      </c>
      <c r="G508">
        <f>1015-600</f>
        <v>415</v>
      </c>
      <c r="H508">
        <v>356.25028201737899</v>
      </c>
      <c r="I508">
        <v>393.03347561749302</v>
      </c>
      <c r="J508" s="6">
        <f>(H508-G508)/G508</f>
        <v>-0.14156558550029158</v>
      </c>
      <c r="K508" s="3">
        <f>(I508-G508)/G508</f>
        <v>-5.2931384054233678E-2</v>
      </c>
      <c r="L508" s="6">
        <f>ABS(J508)</f>
        <v>0.14156558550029158</v>
      </c>
      <c r="M508" s="3">
        <f>ABS(K508)</f>
        <v>5.2931384054233678E-2</v>
      </c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</row>
    <row r="509" spans="1:34" x14ac:dyDescent="0.35">
      <c r="A509">
        <v>508</v>
      </c>
      <c r="B509">
        <v>22</v>
      </c>
      <c r="C509">
        <v>78</v>
      </c>
      <c r="D509">
        <v>170</v>
      </c>
      <c r="E509" t="s">
        <v>9</v>
      </c>
      <c r="F509">
        <v>362</v>
      </c>
      <c r="G509">
        <f>1121-735</f>
        <v>386</v>
      </c>
      <c r="H509">
        <v>369.43365701868299</v>
      </c>
      <c r="I509">
        <v>376.40768902803302</v>
      </c>
      <c r="J509" s="6">
        <f>(H509-G509)/G509</f>
        <v>-4.2917986998230587E-2</v>
      </c>
      <c r="K509" s="3">
        <f>(I509-G509)/G509</f>
        <v>-2.4850546559499951E-2</v>
      </c>
      <c r="L509" s="6">
        <f>ABS(J509)</f>
        <v>4.2917986998230587E-2</v>
      </c>
      <c r="M509" s="3">
        <f>ABS(K509)</f>
        <v>2.4850546559499951E-2</v>
      </c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</row>
    <row r="510" spans="1:34" x14ac:dyDescent="0.35">
      <c r="A510">
        <v>509</v>
      </c>
      <c r="B510">
        <v>22</v>
      </c>
      <c r="C510">
        <v>78</v>
      </c>
      <c r="D510">
        <v>170</v>
      </c>
      <c r="E510" t="s">
        <v>9</v>
      </c>
      <c r="F510">
        <v>379</v>
      </c>
      <c r="G510">
        <f>827-463</f>
        <v>364</v>
      </c>
      <c r="H510">
        <v>376.66324976133399</v>
      </c>
      <c r="I510">
        <v>377.35028854093201</v>
      </c>
      <c r="J510" s="6">
        <f>(H510-G510)/G510</f>
        <v>3.4789147695972487E-2</v>
      </c>
      <c r="K510" s="3">
        <f>(I510-G510)/G510</f>
        <v>3.667661687069234E-2</v>
      </c>
      <c r="L510" s="6">
        <f>ABS(J510)</f>
        <v>3.4789147695972487E-2</v>
      </c>
      <c r="M510" s="3">
        <f>ABS(K510)</f>
        <v>3.667661687069234E-2</v>
      </c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</row>
    <row r="511" spans="1:34" x14ac:dyDescent="0.35">
      <c r="A511">
        <v>510</v>
      </c>
      <c r="B511">
        <v>22</v>
      </c>
      <c r="C511">
        <v>78</v>
      </c>
      <c r="D511">
        <v>170</v>
      </c>
      <c r="E511" t="s">
        <v>9</v>
      </c>
      <c r="F511">
        <v>348</v>
      </c>
      <c r="G511">
        <f>342-0</f>
        <v>342</v>
      </c>
      <c r="H511">
        <v>363.47987476002999</v>
      </c>
      <c r="I511">
        <v>380.82727452775299</v>
      </c>
      <c r="J511" s="6">
        <f>(H511-G511)/G511</f>
        <v>6.2806651345116912E-2</v>
      </c>
      <c r="K511" s="3">
        <f>(I511-G511)/G511</f>
        <v>0.11353004247880992</v>
      </c>
      <c r="L511" s="6">
        <f>ABS(J511)</f>
        <v>6.2806651345116912E-2</v>
      </c>
      <c r="M511" s="3">
        <f>ABS(K511)</f>
        <v>0.11353004247880992</v>
      </c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</row>
    <row r="512" spans="1:34" x14ac:dyDescent="0.35">
      <c r="A512">
        <v>511</v>
      </c>
      <c r="B512">
        <v>22</v>
      </c>
      <c r="C512">
        <v>78</v>
      </c>
      <c r="D512">
        <v>170</v>
      </c>
      <c r="E512" t="s">
        <v>9</v>
      </c>
      <c r="F512">
        <v>412</v>
      </c>
      <c r="G512">
        <f>692-295</f>
        <v>397</v>
      </c>
      <c r="H512">
        <v>390.69716508530303</v>
      </c>
      <c r="I512">
        <v>390.99151157000898</v>
      </c>
      <c r="J512" s="6">
        <f>(H512-G512)/G512</f>
        <v>-1.5876158475307236E-2</v>
      </c>
      <c r="K512" s="3">
        <f>(I512-G512)/G512</f>
        <v>-1.5134731561690224E-2</v>
      </c>
      <c r="L512" s="6">
        <f>ABS(J512)</f>
        <v>1.5876158475307236E-2</v>
      </c>
      <c r="M512" s="3">
        <f>ABS(K512)</f>
        <v>1.5134731561690224E-2</v>
      </c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</row>
    <row r="513" spans="1:34" x14ac:dyDescent="0.35">
      <c r="A513">
        <v>512</v>
      </c>
      <c r="B513">
        <v>22</v>
      </c>
      <c r="C513">
        <v>78</v>
      </c>
      <c r="D513">
        <v>170</v>
      </c>
      <c r="E513" t="s">
        <v>9</v>
      </c>
      <c r="F513">
        <v>495</v>
      </c>
      <c r="G513">
        <f>514-80</f>
        <v>434</v>
      </c>
      <c r="H513">
        <v>425.99458847589102</v>
      </c>
      <c r="I513">
        <v>484.88004692417798</v>
      </c>
      <c r="J513" s="6">
        <f>(H513-G513)/G513</f>
        <v>-1.8445648673062164E-2</v>
      </c>
      <c r="K513" s="3">
        <f>(I513-G513)/G513</f>
        <v>0.11723513116170041</v>
      </c>
      <c r="L513" s="6">
        <f>ABS(J513)</f>
        <v>1.8445648673062164E-2</v>
      </c>
      <c r="M513" s="3">
        <f>ABS(K513)</f>
        <v>0.11723513116170041</v>
      </c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</row>
    <row r="514" spans="1:34" x14ac:dyDescent="0.35">
      <c r="A514">
        <v>513</v>
      </c>
      <c r="B514">
        <v>22</v>
      </c>
      <c r="C514">
        <v>78</v>
      </c>
      <c r="D514">
        <v>170</v>
      </c>
      <c r="E514" t="s">
        <v>9</v>
      </c>
      <c r="F514">
        <v>394</v>
      </c>
      <c r="G514">
        <f>731-375</f>
        <v>356</v>
      </c>
      <c r="H514">
        <v>383.04230218132</v>
      </c>
      <c r="I514">
        <v>382.91481342710699</v>
      </c>
      <c r="J514" s="6">
        <f>(H514-G514)/G514</f>
        <v>7.5961522981235943E-2</v>
      </c>
      <c r="K514" s="3">
        <f>(I514-G514)/G514</f>
        <v>7.5603408503109523E-2</v>
      </c>
      <c r="L514" s="6">
        <f>ABS(J514)</f>
        <v>7.5961522981235943E-2</v>
      </c>
      <c r="M514" s="3">
        <f>ABS(K514)</f>
        <v>7.5603408503109523E-2</v>
      </c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</row>
    <row r="515" spans="1:34" x14ac:dyDescent="0.35">
      <c r="A515">
        <v>514</v>
      </c>
      <c r="B515">
        <v>22</v>
      </c>
      <c r="C515">
        <v>78</v>
      </c>
      <c r="D515">
        <v>170</v>
      </c>
      <c r="E515" t="s">
        <v>9</v>
      </c>
      <c r="F515">
        <v>411</v>
      </c>
      <c r="G515">
        <f>616-187</f>
        <v>429</v>
      </c>
      <c r="H515">
        <v>390.27189492397002</v>
      </c>
      <c r="I515">
        <v>390.50979583337698</v>
      </c>
      <c r="J515" s="6">
        <f>(H515-G515)/G515</f>
        <v>-9.0275303207529078E-2</v>
      </c>
      <c r="K515" s="3">
        <f>(I515-G515)/G515</f>
        <v>-8.972075563315389E-2</v>
      </c>
      <c r="L515" s="6">
        <f>ABS(J515)</f>
        <v>9.0275303207529078E-2</v>
      </c>
      <c r="M515" s="3">
        <f>ABS(K515)</f>
        <v>8.972075563315389E-2</v>
      </c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</row>
    <row r="516" spans="1:34" x14ac:dyDescent="0.35">
      <c r="A516">
        <v>515</v>
      </c>
      <c r="B516">
        <v>22</v>
      </c>
      <c r="C516">
        <v>78</v>
      </c>
      <c r="D516">
        <v>170</v>
      </c>
      <c r="E516" t="s">
        <v>9</v>
      </c>
      <c r="F516">
        <v>380</v>
      </c>
      <c r="G516">
        <f>742-362</f>
        <v>380</v>
      </c>
      <c r="H516">
        <v>377.08851992266602</v>
      </c>
      <c r="I516">
        <v>377.70729131353198</v>
      </c>
      <c r="J516" s="6">
        <f>(H516-G516)/G516</f>
        <v>-7.6617896771946749E-3</v>
      </c>
      <c r="K516" s="3">
        <f>(I516-G516)/G516</f>
        <v>-6.0334439117579412E-3</v>
      </c>
      <c r="L516" s="6">
        <f>ABS(J516)</f>
        <v>7.6617896771946749E-3</v>
      </c>
      <c r="M516" s="3">
        <f>ABS(K516)</f>
        <v>6.0334439117579412E-3</v>
      </c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</row>
    <row r="517" spans="1:34" x14ac:dyDescent="0.35">
      <c r="A517">
        <v>516</v>
      </c>
      <c r="B517">
        <v>22</v>
      </c>
      <c r="C517">
        <v>78</v>
      </c>
      <c r="D517">
        <v>170</v>
      </c>
      <c r="E517" t="s">
        <v>9</v>
      </c>
      <c r="F517">
        <v>429</v>
      </c>
      <c r="G517">
        <f>726-366</f>
        <v>360</v>
      </c>
      <c r="H517">
        <v>397.926757827953</v>
      </c>
      <c r="I517">
        <v>402.34027208884697</v>
      </c>
      <c r="J517" s="6">
        <f>(H517-G517)/G517</f>
        <v>0.10535210507764721</v>
      </c>
      <c r="K517" s="3">
        <f>(I517-G517)/G517</f>
        <v>0.11761186691346381</v>
      </c>
      <c r="L517" s="6">
        <f>ABS(J517)</f>
        <v>0.10535210507764721</v>
      </c>
      <c r="M517" s="3">
        <f>ABS(K517)</f>
        <v>0.11761186691346381</v>
      </c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</row>
    <row r="518" spans="1:34" x14ac:dyDescent="0.35">
      <c r="A518">
        <v>517</v>
      </c>
      <c r="B518">
        <v>22</v>
      </c>
      <c r="C518">
        <v>78</v>
      </c>
      <c r="D518">
        <v>170</v>
      </c>
      <c r="E518" t="s">
        <v>9</v>
      </c>
      <c r="F518">
        <v>397</v>
      </c>
      <c r="G518">
        <f>1101-718</f>
        <v>383</v>
      </c>
      <c r="H518">
        <v>384.31811266531702</v>
      </c>
      <c r="I518">
        <v>384.20704783886498</v>
      </c>
      <c r="J518" s="6">
        <f>(H518-G518)/G518</f>
        <v>3.4415474290261532E-3</v>
      </c>
      <c r="K518" s="3">
        <f>(I518-G518)/G518</f>
        <v>3.151560936984283E-3</v>
      </c>
      <c r="L518" s="6">
        <f>ABS(J518)</f>
        <v>3.4415474290261532E-3</v>
      </c>
      <c r="M518" s="3">
        <f>ABS(K518)</f>
        <v>3.151560936984283E-3</v>
      </c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</row>
    <row r="519" spans="1:34" x14ac:dyDescent="0.35">
      <c r="A519">
        <v>518</v>
      </c>
      <c r="B519">
        <v>22</v>
      </c>
      <c r="C519">
        <v>78</v>
      </c>
      <c r="D519">
        <v>170</v>
      </c>
      <c r="E519" t="s">
        <v>9</v>
      </c>
      <c r="F519">
        <v>377</v>
      </c>
      <c r="G519">
        <f>330-0</f>
        <v>330</v>
      </c>
      <c r="H519">
        <v>375.812709438669</v>
      </c>
      <c r="I519">
        <v>376.76671680655897</v>
      </c>
      <c r="J519" s="6">
        <f>(H519-G519)/G519</f>
        <v>0.13882639223839091</v>
      </c>
      <c r="K519" s="3">
        <f>(I519-G519)/G519</f>
        <v>0.14171732365623932</v>
      </c>
      <c r="L519" s="6">
        <f>ABS(J519)</f>
        <v>0.13882639223839091</v>
      </c>
      <c r="M519" s="3">
        <f>ABS(K519)</f>
        <v>0.14171732365623932</v>
      </c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</row>
    <row r="520" spans="1:34" x14ac:dyDescent="0.35">
      <c r="A520">
        <v>519</v>
      </c>
      <c r="B520">
        <v>22</v>
      </c>
      <c r="C520">
        <v>78</v>
      </c>
      <c r="D520">
        <v>170</v>
      </c>
      <c r="E520" t="s">
        <v>9</v>
      </c>
      <c r="F520">
        <v>397</v>
      </c>
      <c r="G520">
        <f>1298-914</f>
        <v>384</v>
      </c>
      <c r="H520">
        <v>384.31811266531702</v>
      </c>
      <c r="I520">
        <v>384.20704783886498</v>
      </c>
      <c r="J520" s="6">
        <f>(H520-G520)/G520</f>
        <v>8.2841839926306449E-4</v>
      </c>
      <c r="K520" s="3">
        <f>(I520-G520)/G520</f>
        <v>5.3918708037755303E-4</v>
      </c>
      <c r="L520" s="6">
        <f>ABS(J520)</f>
        <v>8.2841839926306449E-4</v>
      </c>
      <c r="M520" s="3">
        <f>ABS(K520)</f>
        <v>5.3918708037755303E-4</v>
      </c>
      <c r="O520" s="20"/>
      <c r="P520" s="20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</row>
    <row r="521" spans="1:34" x14ac:dyDescent="0.35">
      <c r="A521">
        <v>520</v>
      </c>
      <c r="B521">
        <v>22</v>
      </c>
      <c r="C521">
        <v>78</v>
      </c>
      <c r="D521">
        <v>170</v>
      </c>
      <c r="E521" t="s">
        <v>9</v>
      </c>
      <c r="F521">
        <v>363</v>
      </c>
      <c r="G521">
        <f>604-216</f>
        <v>388</v>
      </c>
      <c r="H521">
        <v>369.858927180016</v>
      </c>
      <c r="I521">
        <v>376.27787549762701</v>
      </c>
      <c r="J521" s="6">
        <f>(H521-G521)/G521</f>
        <v>-4.6755342319546402E-2</v>
      </c>
      <c r="K521" s="3">
        <f>(I521-G521)/G521</f>
        <v>-3.0211661088590185E-2</v>
      </c>
      <c r="L521" s="6">
        <f>ABS(J521)</f>
        <v>4.6755342319546402E-2</v>
      </c>
      <c r="M521" s="3">
        <f>ABS(K521)</f>
        <v>3.0211661088590185E-2</v>
      </c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</row>
    <row r="522" spans="1:34" x14ac:dyDescent="0.35">
      <c r="A522">
        <v>521</v>
      </c>
      <c r="B522">
        <v>22</v>
      </c>
      <c r="C522">
        <v>78</v>
      </c>
      <c r="D522">
        <v>170</v>
      </c>
      <c r="E522" t="s">
        <v>9</v>
      </c>
      <c r="F522">
        <v>364</v>
      </c>
      <c r="G522">
        <f>328-0</f>
        <v>328</v>
      </c>
      <c r="H522">
        <v>370.28419734134798</v>
      </c>
      <c r="I522">
        <v>376.148061967221</v>
      </c>
      <c r="J522" s="6">
        <f>(H522-G522)/G522</f>
        <v>0.12891523579679262</v>
      </c>
      <c r="K522" s="3">
        <f>(I522-G522)/G522</f>
        <v>0.14679287185128354</v>
      </c>
      <c r="L522" s="6">
        <f>ABS(J522)</f>
        <v>0.12891523579679262</v>
      </c>
      <c r="M522" s="3">
        <f>ABS(K522)</f>
        <v>0.14679287185128354</v>
      </c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</row>
    <row r="523" spans="1:34" x14ac:dyDescent="0.35">
      <c r="A523">
        <v>522</v>
      </c>
      <c r="B523">
        <v>22</v>
      </c>
      <c r="C523">
        <v>78</v>
      </c>
      <c r="D523">
        <v>170</v>
      </c>
      <c r="E523" t="s">
        <v>9</v>
      </c>
      <c r="F523">
        <v>360</v>
      </c>
      <c r="G523">
        <f>1353-1001</f>
        <v>352</v>
      </c>
      <c r="H523">
        <v>368.58311669601801</v>
      </c>
      <c r="I523">
        <v>376.66731608884402</v>
      </c>
      <c r="J523" s="6">
        <f>(H523-G523)/G523</f>
        <v>4.7111126977323892E-2</v>
      </c>
      <c r="K523" s="3">
        <f>(I523-G523)/G523</f>
        <v>7.0077602525125057E-2</v>
      </c>
      <c r="L523" s="6">
        <f>ABS(J523)</f>
        <v>4.7111126977323892E-2</v>
      </c>
      <c r="M523" s="3">
        <f>ABS(K523)</f>
        <v>7.0077602525125057E-2</v>
      </c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</row>
    <row r="524" spans="1:34" s="15" customFormat="1" x14ac:dyDescent="0.35">
      <c r="A524" s="15">
        <v>523</v>
      </c>
      <c r="B524" s="15">
        <v>22</v>
      </c>
      <c r="C524" s="15">
        <v>78</v>
      </c>
      <c r="D524" s="15">
        <v>170</v>
      </c>
      <c r="E524" s="15" t="s">
        <v>9</v>
      </c>
      <c r="F524" s="15">
        <v>105</v>
      </c>
      <c r="G524" s="15">
        <f>726-367</f>
        <v>359</v>
      </c>
      <c r="H524" s="15">
        <v>260.13922555625902</v>
      </c>
      <c r="I524" s="15">
        <v>897.02885122779401</v>
      </c>
      <c r="N524" s="15" t="s">
        <v>23</v>
      </c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</row>
    <row r="525" spans="1:34" x14ac:dyDescent="0.35">
      <c r="A525">
        <v>524</v>
      </c>
      <c r="B525">
        <v>22</v>
      </c>
      <c r="C525">
        <v>78</v>
      </c>
      <c r="D525">
        <v>170</v>
      </c>
      <c r="E525" t="s">
        <v>9</v>
      </c>
      <c r="F525">
        <v>413</v>
      </c>
      <c r="G525">
        <f>1006-612</f>
        <v>394</v>
      </c>
      <c r="H525">
        <v>391.12243524663501</v>
      </c>
      <c r="I525">
        <v>391.473227306642</v>
      </c>
      <c r="J525" s="6">
        <f>(H525-G525)/G525</f>
        <v>-7.3034638410279015E-3</v>
      </c>
      <c r="K525" s="3">
        <f>(I525-G525)/G525</f>
        <v>-6.4131286633451728E-3</v>
      </c>
      <c r="L525" s="6">
        <f>ABS(J525)</f>
        <v>7.3034638410279015E-3</v>
      </c>
      <c r="M525" s="3">
        <f>ABS(K525)</f>
        <v>6.4131286633451728E-3</v>
      </c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</row>
    <row r="526" spans="1:34" x14ac:dyDescent="0.35">
      <c r="A526">
        <v>525</v>
      </c>
      <c r="B526">
        <v>22</v>
      </c>
      <c r="C526">
        <v>78</v>
      </c>
      <c r="D526">
        <v>170</v>
      </c>
      <c r="E526" t="s">
        <v>9</v>
      </c>
      <c r="F526">
        <v>379</v>
      </c>
      <c r="G526">
        <f>418-40</f>
        <v>378</v>
      </c>
      <c r="H526">
        <v>376.66324976133399</v>
      </c>
      <c r="I526">
        <v>377.35028854093201</v>
      </c>
      <c r="J526" s="6">
        <f>(H526-G526)/G526</f>
        <v>-3.5363762927672314E-3</v>
      </c>
      <c r="K526" s="3">
        <f>(I526-G526)/G526</f>
        <v>-1.7188133837777438E-3</v>
      </c>
      <c r="L526" s="6">
        <f>ABS(J526)</f>
        <v>3.5363762927672314E-3</v>
      </c>
      <c r="M526" s="3">
        <f>ABS(K526)</f>
        <v>1.7188133837777438E-3</v>
      </c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</row>
    <row r="527" spans="1:34" x14ac:dyDescent="0.35">
      <c r="A527">
        <v>526</v>
      </c>
      <c r="B527">
        <v>22</v>
      </c>
      <c r="C527">
        <v>78</v>
      </c>
      <c r="D527">
        <v>170</v>
      </c>
      <c r="E527" t="s">
        <v>9</v>
      </c>
      <c r="F527">
        <v>428</v>
      </c>
      <c r="G527">
        <f>582-194</f>
        <v>388</v>
      </c>
      <c r="H527">
        <v>397.50148766662102</v>
      </c>
      <c r="I527">
        <v>401.65903606348502</v>
      </c>
      <c r="J527" s="6">
        <f>(H527-G527)/G527</f>
        <v>2.4488370274796434E-2</v>
      </c>
      <c r="K527" s="3">
        <f>(I527-G527)/G527</f>
        <v>3.520370119454902E-2</v>
      </c>
      <c r="L527" s="6">
        <f>ABS(J527)</f>
        <v>2.4488370274796434E-2</v>
      </c>
      <c r="M527" s="3">
        <f>ABS(K527)</f>
        <v>3.520370119454902E-2</v>
      </c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</row>
    <row r="528" spans="1:34" x14ac:dyDescent="0.35">
      <c r="A528">
        <v>527</v>
      </c>
      <c r="B528">
        <v>22</v>
      </c>
      <c r="C528">
        <v>78</v>
      </c>
      <c r="D528">
        <v>170</v>
      </c>
      <c r="E528" t="s">
        <v>9</v>
      </c>
      <c r="F528">
        <v>379</v>
      </c>
      <c r="G528">
        <f>736-384</f>
        <v>352</v>
      </c>
      <c r="H528">
        <v>376.66324976133399</v>
      </c>
      <c r="I528">
        <v>377.35028854093201</v>
      </c>
      <c r="J528" s="6">
        <f>(H528-G528)/G528</f>
        <v>7.0066050458335194E-2</v>
      </c>
      <c r="K528" s="3">
        <f>(I528-G528)/G528</f>
        <v>7.2017865173102311E-2</v>
      </c>
      <c r="L528" s="6">
        <f>ABS(J528)</f>
        <v>7.0066050458335194E-2</v>
      </c>
      <c r="M528" s="3">
        <f>ABS(K528)</f>
        <v>7.2017865173102311E-2</v>
      </c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</row>
    <row r="529" spans="1:34" x14ac:dyDescent="0.35">
      <c r="A529">
        <v>528</v>
      </c>
      <c r="B529">
        <v>22</v>
      </c>
      <c r="C529">
        <v>78</v>
      </c>
      <c r="D529">
        <v>170</v>
      </c>
      <c r="E529" t="s">
        <v>9</v>
      </c>
      <c r="F529">
        <v>380</v>
      </c>
      <c r="G529">
        <f>619-262</f>
        <v>357</v>
      </c>
      <c r="H529">
        <v>377.08851992266602</v>
      </c>
      <c r="I529">
        <v>377.70729131353198</v>
      </c>
      <c r="J529" s="6">
        <f>(H529-G529)/G529</f>
        <v>5.6270363929036483E-2</v>
      </c>
      <c r="K529" s="3">
        <f>(I529-G529)/G529</f>
        <v>5.8003617124739448E-2</v>
      </c>
      <c r="L529" s="6">
        <f>ABS(J529)</f>
        <v>5.6270363929036483E-2</v>
      </c>
      <c r="M529" s="3">
        <f>ABS(K529)</f>
        <v>5.8003617124739448E-2</v>
      </c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</row>
    <row r="530" spans="1:34" x14ac:dyDescent="0.35">
      <c r="A530">
        <v>529</v>
      </c>
      <c r="B530">
        <v>22</v>
      </c>
      <c r="C530">
        <v>78</v>
      </c>
      <c r="D530">
        <v>170</v>
      </c>
      <c r="E530" t="s">
        <v>9</v>
      </c>
      <c r="F530">
        <v>347</v>
      </c>
      <c r="G530">
        <f>1084-691</f>
        <v>393</v>
      </c>
      <c r="H530">
        <v>363.05460459869698</v>
      </c>
      <c r="I530">
        <v>381.34211662300697</v>
      </c>
      <c r="J530" s="6">
        <f>(H530-G530)/G530</f>
        <v>-7.6196934863366456E-2</v>
      </c>
      <c r="K530" s="3">
        <f>(I530-G530)/G530</f>
        <v>-2.9663825386750706E-2</v>
      </c>
      <c r="L530" s="6">
        <f>ABS(J530)</f>
        <v>7.6196934863366456E-2</v>
      </c>
      <c r="M530" s="3">
        <f>ABS(K530)</f>
        <v>2.9663825386750706E-2</v>
      </c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</row>
    <row r="531" spans="1:34" x14ac:dyDescent="0.35">
      <c r="A531">
        <v>530</v>
      </c>
      <c r="B531">
        <v>22</v>
      </c>
      <c r="C531">
        <v>78</v>
      </c>
      <c r="D531">
        <v>170</v>
      </c>
      <c r="E531" t="s">
        <v>9</v>
      </c>
      <c r="F531">
        <v>380</v>
      </c>
      <c r="G531">
        <f>1262-904</f>
        <v>358</v>
      </c>
      <c r="H531">
        <v>377.08851992266602</v>
      </c>
      <c r="I531">
        <v>377.70729131353198</v>
      </c>
      <c r="J531" s="6">
        <f>(H531-G531)/G531</f>
        <v>5.3319888052139733E-2</v>
      </c>
      <c r="K531" s="3">
        <f>(I531-G531)/G531</f>
        <v>5.5048299758469227E-2</v>
      </c>
      <c r="L531" s="6">
        <f>ABS(J531)</f>
        <v>5.3319888052139733E-2</v>
      </c>
      <c r="M531" s="3">
        <f>ABS(K531)</f>
        <v>5.5048299758469227E-2</v>
      </c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</row>
    <row r="532" spans="1:34" x14ac:dyDescent="0.35">
      <c r="A532">
        <v>531</v>
      </c>
      <c r="B532">
        <v>22</v>
      </c>
      <c r="C532">
        <v>78</v>
      </c>
      <c r="D532">
        <v>170</v>
      </c>
      <c r="E532" t="s">
        <v>9</v>
      </c>
      <c r="F532">
        <v>379</v>
      </c>
      <c r="G532">
        <f>301-0</f>
        <v>301</v>
      </c>
      <c r="H532">
        <v>376.66324976133399</v>
      </c>
      <c r="I532">
        <v>377.35028854093201</v>
      </c>
      <c r="J532" s="6">
        <f>(H532-G532)/G532</f>
        <v>0.25137292279512952</v>
      </c>
      <c r="K532" s="3">
        <f>(I532-G532)/G532</f>
        <v>0.25365544365758141</v>
      </c>
      <c r="L532" s="6">
        <f>ABS(J532)</f>
        <v>0.25137292279512952</v>
      </c>
      <c r="M532" s="3">
        <f>ABS(K532)</f>
        <v>0.25365544365758141</v>
      </c>
      <c r="O532" s="20"/>
      <c r="P532" s="20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</row>
    <row r="533" spans="1:34" x14ac:dyDescent="0.35">
      <c r="A533">
        <v>532</v>
      </c>
      <c r="B533">
        <v>22</v>
      </c>
      <c r="C533">
        <v>78</v>
      </c>
      <c r="D533">
        <v>170</v>
      </c>
      <c r="E533" t="s">
        <v>9</v>
      </c>
      <c r="F533">
        <v>379</v>
      </c>
      <c r="G533">
        <f>884-510</f>
        <v>374</v>
      </c>
      <c r="H533">
        <v>376.66324976133399</v>
      </c>
      <c r="I533">
        <v>377.35028854093201</v>
      </c>
      <c r="J533" s="6">
        <f>(H533-G533)/G533</f>
        <v>7.1209886666684132E-3</v>
      </c>
      <c r="K533" s="3">
        <f>(I533-G533)/G533</f>
        <v>8.9579907511551145E-3</v>
      </c>
      <c r="L533" s="6">
        <f>ABS(J533)</f>
        <v>7.1209886666684132E-3</v>
      </c>
      <c r="M533" s="3">
        <f>ABS(K533)</f>
        <v>8.9579907511551145E-3</v>
      </c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</row>
    <row r="534" spans="1:34" x14ac:dyDescent="0.35">
      <c r="A534">
        <v>533</v>
      </c>
      <c r="B534">
        <v>22</v>
      </c>
      <c r="C534">
        <v>78</v>
      </c>
      <c r="D534">
        <v>170</v>
      </c>
      <c r="E534" t="s">
        <v>9</v>
      </c>
      <c r="F534">
        <v>379</v>
      </c>
      <c r="G534">
        <f>1793-1423</f>
        <v>370</v>
      </c>
      <c r="H534">
        <v>376.66324976133399</v>
      </c>
      <c r="I534">
        <v>377.35028854093201</v>
      </c>
      <c r="J534" s="6">
        <f>(H534-G534)/G534</f>
        <v>1.8008783138740506E-2</v>
      </c>
      <c r="K534" s="3">
        <f>(I534-G534)/G534</f>
        <v>1.9865644705221657E-2</v>
      </c>
      <c r="L534" s="6">
        <f>ABS(J534)</f>
        <v>1.8008783138740506E-2</v>
      </c>
      <c r="M534" s="3">
        <f>ABS(K534)</f>
        <v>1.9865644705221657E-2</v>
      </c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</row>
    <row r="535" spans="1:34" x14ac:dyDescent="0.35">
      <c r="A535">
        <v>534</v>
      </c>
      <c r="B535">
        <v>22</v>
      </c>
      <c r="C535">
        <v>78</v>
      </c>
      <c r="D535">
        <v>170</v>
      </c>
      <c r="E535" t="s">
        <v>9</v>
      </c>
      <c r="F535">
        <v>345</v>
      </c>
      <c r="G535">
        <f>861-480</f>
        <v>381</v>
      </c>
      <c r="H535">
        <v>362.20406427603302</v>
      </c>
      <c r="I535">
        <v>382.371800813513</v>
      </c>
      <c r="J535" s="6">
        <f>(H535-G535)/G535</f>
        <v>-4.9333164629834586E-2</v>
      </c>
      <c r="K535" s="3">
        <f>(I535-G535)/G535</f>
        <v>3.6005270695879392E-3</v>
      </c>
      <c r="L535" s="6">
        <f>ABS(J535)</f>
        <v>4.9333164629834586E-2</v>
      </c>
      <c r="M535" s="3">
        <f>ABS(K535)</f>
        <v>3.6005270695879392E-3</v>
      </c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</row>
    <row r="536" spans="1:34" x14ac:dyDescent="0.35">
      <c r="A536">
        <v>535</v>
      </c>
      <c r="B536">
        <v>22</v>
      </c>
      <c r="C536">
        <v>78</v>
      </c>
      <c r="D536">
        <v>170</v>
      </c>
      <c r="E536" t="s">
        <v>9</v>
      </c>
      <c r="F536">
        <v>381</v>
      </c>
      <c r="G536">
        <f>1423-1032</f>
        <v>391</v>
      </c>
      <c r="H536">
        <v>377.51379008399903</v>
      </c>
      <c r="I536">
        <v>378.06429408613297</v>
      </c>
      <c r="J536" s="6">
        <f>(H536-G536)/G536</f>
        <v>-3.4491585462918091E-2</v>
      </c>
      <c r="K536" s="3">
        <f>(I536-G536)/G536</f>
        <v>-3.308364683853459E-2</v>
      </c>
      <c r="L536" s="6">
        <f>ABS(J536)</f>
        <v>3.4491585462918091E-2</v>
      </c>
      <c r="M536" s="3">
        <f>ABS(K536)</f>
        <v>3.308364683853459E-2</v>
      </c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</row>
    <row r="537" spans="1:34" x14ac:dyDescent="0.35">
      <c r="A537">
        <v>536</v>
      </c>
      <c r="B537">
        <v>22</v>
      </c>
      <c r="C537">
        <v>78</v>
      </c>
      <c r="D537">
        <v>170</v>
      </c>
      <c r="E537" t="s">
        <v>9</v>
      </c>
      <c r="F537">
        <v>345</v>
      </c>
      <c r="G537">
        <f>1202-842</f>
        <v>360</v>
      </c>
      <c r="H537">
        <v>362.20406427603302</v>
      </c>
      <c r="I537">
        <v>382.371800813513</v>
      </c>
      <c r="J537" s="6">
        <f>(H537-G537)/G537</f>
        <v>6.1224007667583973E-3</v>
      </c>
      <c r="K537" s="3">
        <f>(I537-G537)/G537</f>
        <v>6.2143891148647233E-2</v>
      </c>
      <c r="L537" s="6">
        <f>ABS(J537)</f>
        <v>6.1224007667583973E-3</v>
      </c>
      <c r="M537" s="3">
        <f>ABS(K537)</f>
        <v>6.2143891148647233E-2</v>
      </c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</row>
    <row r="538" spans="1:34" x14ac:dyDescent="0.35">
      <c r="A538">
        <v>537</v>
      </c>
      <c r="B538">
        <v>22</v>
      </c>
      <c r="C538">
        <v>78</v>
      </c>
      <c r="D538">
        <v>170</v>
      </c>
      <c r="E538" t="s">
        <v>9</v>
      </c>
      <c r="F538">
        <v>380</v>
      </c>
      <c r="G538">
        <f>500-138</f>
        <v>362</v>
      </c>
      <c r="H538">
        <v>377.08851992266602</v>
      </c>
      <c r="I538">
        <v>377.70729131353198</v>
      </c>
      <c r="J538" s="6">
        <f>(H538-G538)/G538</f>
        <v>4.1680994261508349E-2</v>
      </c>
      <c r="K538" s="3">
        <f>(I538-G538)/G538</f>
        <v>4.3390307495944705E-2</v>
      </c>
      <c r="L538" s="6">
        <f>ABS(J538)</f>
        <v>4.1680994261508349E-2</v>
      </c>
      <c r="M538" s="3">
        <f>ABS(K538)</f>
        <v>4.3390307495944705E-2</v>
      </c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</row>
    <row r="539" spans="1:34" x14ac:dyDescent="0.35">
      <c r="A539">
        <v>538</v>
      </c>
      <c r="B539">
        <v>22</v>
      </c>
      <c r="C539">
        <v>78</v>
      </c>
      <c r="D539">
        <v>170</v>
      </c>
      <c r="E539" t="s">
        <v>9</v>
      </c>
      <c r="F539">
        <v>348</v>
      </c>
      <c r="G539">
        <f>1204-830</f>
        <v>374</v>
      </c>
      <c r="H539">
        <v>363.47987476002999</v>
      </c>
      <c r="I539">
        <v>380.82727452775299</v>
      </c>
      <c r="J539" s="6">
        <f>(H539-G539)/G539</f>
        <v>-2.8128677112219287E-2</v>
      </c>
      <c r="K539" s="3">
        <f>(I539-G539)/G539</f>
        <v>1.8254744726612274E-2</v>
      </c>
      <c r="L539" s="6">
        <f>ABS(J539)</f>
        <v>2.8128677112219287E-2</v>
      </c>
      <c r="M539" s="3">
        <f>ABS(K539)</f>
        <v>1.8254744726612274E-2</v>
      </c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</row>
    <row r="540" spans="1:34" x14ac:dyDescent="0.35">
      <c r="A540">
        <v>539</v>
      </c>
      <c r="B540">
        <v>22</v>
      </c>
      <c r="C540">
        <v>78</v>
      </c>
      <c r="D540">
        <v>170</v>
      </c>
      <c r="E540" t="s">
        <v>9</v>
      </c>
      <c r="F540">
        <v>396</v>
      </c>
      <c r="G540">
        <f>2344-1907</f>
        <v>437</v>
      </c>
      <c r="H540">
        <v>383.89284250398401</v>
      </c>
      <c r="I540">
        <v>383.77630303494601</v>
      </c>
      <c r="J540" s="6">
        <f>(H540-G540)/G540</f>
        <v>-0.12152667619225627</v>
      </c>
      <c r="K540" s="3">
        <f>(I540-G540)/G540</f>
        <v>-0.12179335689943704</v>
      </c>
      <c r="L540" s="6">
        <f>ABS(J540)</f>
        <v>0.12152667619225627</v>
      </c>
      <c r="M540" s="3">
        <f>ABS(K540)</f>
        <v>0.12179335689943704</v>
      </c>
      <c r="O540" s="20"/>
      <c r="P540" s="20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</row>
    <row r="541" spans="1:34" x14ac:dyDescent="0.35">
      <c r="A541">
        <v>540</v>
      </c>
      <c r="B541">
        <v>22</v>
      </c>
      <c r="C541">
        <v>78</v>
      </c>
      <c r="D541">
        <v>170</v>
      </c>
      <c r="E541" t="s">
        <v>9</v>
      </c>
      <c r="F541">
        <v>331</v>
      </c>
      <c r="G541">
        <f>1553-1212</f>
        <v>341</v>
      </c>
      <c r="H541">
        <v>356.25028201737899</v>
      </c>
      <c r="I541">
        <v>393.03347561749302</v>
      </c>
      <c r="J541" s="6">
        <f>(H541-G541)/G541</f>
        <v>4.4722234655070359E-2</v>
      </c>
      <c r="K541" s="3">
        <f>(I541-G541)/G541</f>
        <v>0.15259083758795608</v>
      </c>
      <c r="L541" s="6">
        <f>ABS(J541)</f>
        <v>4.4722234655070359E-2</v>
      </c>
      <c r="M541" s="3">
        <f>ABS(K541)</f>
        <v>0.15259083758795608</v>
      </c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</row>
    <row r="542" spans="1:34" x14ac:dyDescent="0.35">
      <c r="A542">
        <v>541</v>
      </c>
      <c r="B542">
        <v>22</v>
      </c>
      <c r="C542">
        <v>78</v>
      </c>
      <c r="D542">
        <v>170</v>
      </c>
      <c r="E542" t="s">
        <v>9</v>
      </c>
      <c r="F542">
        <v>346</v>
      </c>
      <c r="G542">
        <f>490-141</f>
        <v>349</v>
      </c>
      <c r="H542">
        <v>362.629334437365</v>
      </c>
      <c r="I542">
        <v>381.85695871825999</v>
      </c>
      <c r="J542" s="6">
        <f>(H542-G542)/G542</f>
        <v>3.9052534204484249E-2</v>
      </c>
      <c r="K542" s="3">
        <f>(I542-G542)/G542</f>
        <v>9.414601351936959E-2</v>
      </c>
      <c r="L542" s="6">
        <f>ABS(J542)</f>
        <v>3.9052534204484249E-2</v>
      </c>
      <c r="M542" s="3">
        <f>ABS(K542)</f>
        <v>9.414601351936959E-2</v>
      </c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</row>
    <row r="543" spans="1:34" x14ac:dyDescent="0.35">
      <c r="A543">
        <v>542</v>
      </c>
      <c r="B543">
        <v>22</v>
      </c>
      <c r="C543">
        <v>78</v>
      </c>
      <c r="D543">
        <v>170</v>
      </c>
      <c r="E543" t="s">
        <v>9</v>
      </c>
      <c r="F543">
        <v>364</v>
      </c>
      <c r="G543">
        <f>1459-1092</f>
        <v>367</v>
      </c>
      <c r="H543">
        <v>370.28419734134798</v>
      </c>
      <c r="I543">
        <v>376.148061967221</v>
      </c>
      <c r="J543" s="6">
        <f>(H543-G543)/G543</f>
        <v>8.9487665976784089E-3</v>
      </c>
      <c r="K543" s="3">
        <f>(I543-G543)/G543</f>
        <v>2.4926599365724788E-2</v>
      </c>
      <c r="L543" s="6">
        <f>ABS(J543)</f>
        <v>8.9487665976784089E-3</v>
      </c>
      <c r="M543" s="3">
        <f>ABS(K543)</f>
        <v>2.4926599365724788E-2</v>
      </c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</row>
    <row r="544" spans="1:34" x14ac:dyDescent="0.35">
      <c r="A544">
        <v>543</v>
      </c>
      <c r="B544">
        <v>22</v>
      </c>
      <c r="C544">
        <v>78</v>
      </c>
      <c r="D544">
        <v>170</v>
      </c>
      <c r="E544" t="s">
        <v>9</v>
      </c>
      <c r="F544">
        <v>379</v>
      </c>
      <c r="G544">
        <f>532-153</f>
        <v>379</v>
      </c>
      <c r="H544">
        <v>376.66324976133399</v>
      </c>
      <c r="I544">
        <v>377.35028854093201</v>
      </c>
      <c r="J544" s="6">
        <f>(H544-G544)/G544</f>
        <v>-6.1655679120475289E-3</v>
      </c>
      <c r="K544" s="3">
        <f>(I544-G544)/G544</f>
        <v>-4.3528006835566943E-3</v>
      </c>
      <c r="L544" s="6">
        <f>ABS(J544)</f>
        <v>6.1655679120475289E-3</v>
      </c>
      <c r="M544" s="3">
        <f>ABS(K544)</f>
        <v>4.3528006835566943E-3</v>
      </c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</row>
    <row r="545" spans="1:34" x14ac:dyDescent="0.35">
      <c r="A545">
        <v>544</v>
      </c>
      <c r="B545">
        <v>22</v>
      </c>
      <c r="C545">
        <v>78</v>
      </c>
      <c r="D545">
        <v>170</v>
      </c>
      <c r="E545" t="s">
        <v>9</v>
      </c>
      <c r="F545">
        <v>362</v>
      </c>
      <c r="G545">
        <f>654-301</f>
        <v>353</v>
      </c>
      <c r="H545">
        <v>369.43365701868299</v>
      </c>
      <c r="I545">
        <v>376.40768902803302</v>
      </c>
      <c r="J545" s="6">
        <f>(H545-G545)/G545</f>
        <v>4.6554269174739357E-2</v>
      </c>
      <c r="K545" s="3">
        <f>(I545-G545)/G545</f>
        <v>6.6310733790461804E-2</v>
      </c>
      <c r="L545" s="6">
        <f>ABS(J545)</f>
        <v>4.6554269174739357E-2</v>
      </c>
      <c r="M545" s="3">
        <f>ABS(K545)</f>
        <v>6.6310733790461804E-2</v>
      </c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</row>
    <row r="546" spans="1:34" x14ac:dyDescent="0.35">
      <c r="A546">
        <v>545</v>
      </c>
      <c r="B546">
        <v>22</v>
      </c>
      <c r="C546">
        <v>78</v>
      </c>
      <c r="D546">
        <v>170</v>
      </c>
      <c r="E546" t="s">
        <v>9</v>
      </c>
      <c r="F546">
        <v>380</v>
      </c>
      <c r="G546">
        <f>2072-1717</f>
        <v>355</v>
      </c>
      <c r="H546">
        <v>377.08851992266602</v>
      </c>
      <c r="I546">
        <v>377.70729131353198</v>
      </c>
      <c r="J546" s="6">
        <f>(H546-G546)/G546</f>
        <v>6.2221182880749362E-2</v>
      </c>
      <c r="K546" s="3">
        <f>(I546-G546)/G546</f>
        <v>6.3964200883188688E-2</v>
      </c>
      <c r="L546" s="6">
        <f>ABS(J546)</f>
        <v>6.2221182880749362E-2</v>
      </c>
      <c r="M546" s="3">
        <f>ABS(K546)</f>
        <v>6.3964200883188688E-2</v>
      </c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</row>
    <row r="547" spans="1:34" x14ac:dyDescent="0.35">
      <c r="A547">
        <v>546</v>
      </c>
      <c r="B547">
        <v>22</v>
      </c>
      <c r="C547">
        <v>78</v>
      </c>
      <c r="D547">
        <v>170</v>
      </c>
      <c r="E547" t="s">
        <v>9</v>
      </c>
      <c r="F547">
        <v>413</v>
      </c>
      <c r="G547">
        <f>1158-773</f>
        <v>385</v>
      </c>
      <c r="H547">
        <v>391.12243524663501</v>
      </c>
      <c r="I547">
        <v>391.473227306642</v>
      </c>
      <c r="J547" s="6">
        <f>(H547-G547)/G547</f>
        <v>1.5902429212038979E-2</v>
      </c>
      <c r="K547" s="3">
        <f>(I547-G547)/G547</f>
        <v>1.6813577419849356E-2</v>
      </c>
      <c r="L547" s="6">
        <f>ABS(J547)</f>
        <v>1.5902429212038979E-2</v>
      </c>
      <c r="M547" s="3">
        <f>ABS(K547)</f>
        <v>1.6813577419849356E-2</v>
      </c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</row>
    <row r="548" spans="1:34" x14ac:dyDescent="0.35">
      <c r="A548">
        <v>547</v>
      </c>
      <c r="B548">
        <v>22</v>
      </c>
      <c r="C548">
        <v>78</v>
      </c>
      <c r="D548">
        <v>170</v>
      </c>
      <c r="E548" t="s">
        <v>9</v>
      </c>
      <c r="F548">
        <v>313</v>
      </c>
      <c r="G548">
        <f>377-0</f>
        <v>377</v>
      </c>
      <c r="H548">
        <v>348.59541911339602</v>
      </c>
      <c r="I548">
        <v>425.137044329334</v>
      </c>
      <c r="J548" s="6">
        <f>(H548-G548)/G548</f>
        <v>-7.5343715879586159E-2</v>
      </c>
      <c r="K548" s="3">
        <f>(I548-G548)/G548</f>
        <v>0.12768446771706632</v>
      </c>
      <c r="L548" s="6">
        <f>ABS(J548)</f>
        <v>7.5343715879586159E-2</v>
      </c>
      <c r="M548" s="3">
        <f>ABS(K548)</f>
        <v>0.12768446771706632</v>
      </c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</row>
    <row r="549" spans="1:34" x14ac:dyDescent="0.35">
      <c r="A549">
        <v>548</v>
      </c>
      <c r="B549">
        <v>22</v>
      </c>
      <c r="C549">
        <v>78</v>
      </c>
      <c r="D549">
        <v>170</v>
      </c>
      <c r="E549" t="s">
        <v>9</v>
      </c>
      <c r="F549">
        <v>364</v>
      </c>
      <c r="G549">
        <f>934-579</f>
        <v>355</v>
      </c>
      <c r="H549">
        <v>370.28419734134798</v>
      </c>
      <c r="I549">
        <v>376.148061967221</v>
      </c>
      <c r="J549" s="6">
        <f>(H549-G549)/G549</f>
        <v>4.3054077017881623E-2</v>
      </c>
      <c r="K549" s="3">
        <f>(I549-G549)/G549</f>
        <v>5.9572005541467597E-2</v>
      </c>
      <c r="L549" s="6">
        <f>ABS(J549)</f>
        <v>4.3054077017881623E-2</v>
      </c>
      <c r="M549" s="3">
        <f>ABS(K549)</f>
        <v>5.9572005541467597E-2</v>
      </c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</row>
    <row r="550" spans="1:34" x14ac:dyDescent="0.35">
      <c r="A550">
        <v>549</v>
      </c>
      <c r="B550">
        <v>22</v>
      </c>
      <c r="C550">
        <v>78</v>
      </c>
      <c r="D550">
        <v>170</v>
      </c>
      <c r="E550" t="s">
        <v>9</v>
      </c>
      <c r="F550">
        <v>362</v>
      </c>
      <c r="G550">
        <f>839-454</f>
        <v>385</v>
      </c>
      <c r="H550">
        <v>369.43365701868299</v>
      </c>
      <c r="I550">
        <v>376.40768902803302</v>
      </c>
      <c r="J550" s="6">
        <f>(H550-G550)/G550</f>
        <v>-4.0432059691732483E-2</v>
      </c>
      <c r="K550" s="3">
        <f>(I550-G550)/G550</f>
        <v>-2.2317690836277874E-2</v>
      </c>
      <c r="L550" s="6">
        <f>ABS(J550)</f>
        <v>4.0432059691732483E-2</v>
      </c>
      <c r="M550" s="3">
        <f>ABS(K550)</f>
        <v>2.2317690836277874E-2</v>
      </c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</row>
    <row r="551" spans="1:34" x14ac:dyDescent="0.35">
      <c r="A551">
        <v>550</v>
      </c>
      <c r="B551">
        <v>22</v>
      </c>
      <c r="C551">
        <v>78</v>
      </c>
      <c r="D551">
        <v>170</v>
      </c>
      <c r="E551" t="s">
        <v>9</v>
      </c>
      <c r="F551">
        <v>380</v>
      </c>
      <c r="G551">
        <f>1672-1318</f>
        <v>354</v>
      </c>
      <c r="H551">
        <v>377.08851992266602</v>
      </c>
      <c r="I551">
        <v>377.70729131353198</v>
      </c>
      <c r="J551" s="6">
        <f>(H551-G551)/G551</f>
        <v>6.5221807691146952E-2</v>
      </c>
      <c r="K551" s="3">
        <f>(I551-G551)/G551</f>
        <v>6.6969749473254181E-2</v>
      </c>
      <c r="L551" s="6">
        <f>ABS(J551)</f>
        <v>6.5221807691146952E-2</v>
      </c>
      <c r="M551" s="3">
        <f>ABS(K551)</f>
        <v>6.6969749473254181E-2</v>
      </c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</row>
  </sheetData>
  <autoFilter ref="N1:N551"/>
  <sortState ref="A1:P551">
    <sortCondition ref="A1"/>
  </sortState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Models 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</cp:lastModifiedBy>
  <dcterms:created xsi:type="dcterms:W3CDTF">2025-09-24T15:03:31Z</dcterms:created>
  <dcterms:modified xsi:type="dcterms:W3CDTF">2025-10-13T16:05:45Z</dcterms:modified>
</cp:coreProperties>
</file>