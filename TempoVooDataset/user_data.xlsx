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c\Desktop\TempoVooPy\TempoVooDataset\"/>
    </mc:Choice>
  </mc:AlternateContent>
  <bookViews>
    <workbookView xWindow="0" yWindow="0" windowWidth="19200" windowHeight="6930" tabRatio="500"/>
  </bookViews>
  <sheets>
    <sheet name="Sheet1" sheetId="1" r:id="rId1"/>
  </sheets>
  <definedNames>
    <definedName name="_xlnm._FilterDatabase" localSheetId="0" hidden="1">Sheet1!$A$1:$H$1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I490" i="1"/>
  <c r="I2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2" i="1"/>
</calcChain>
</file>

<file path=xl/sharedStrings.xml><?xml version="1.0" encoding="utf-8"?>
<sst xmlns="http://schemas.openxmlformats.org/spreadsheetml/2006/main" count="1126" uniqueCount="17">
  <si>
    <t>Number:</t>
  </si>
  <si>
    <t>Age:</t>
  </si>
  <si>
    <t>Weight:</t>
  </si>
  <si>
    <t>Height:</t>
  </si>
  <si>
    <t>Gender</t>
  </si>
  <si>
    <t>Male</t>
  </si>
  <si>
    <t>Female</t>
  </si>
  <si>
    <t>Comment</t>
  </si>
  <si>
    <t>Invalid</t>
  </si>
  <si>
    <t>clened higher than 30% error</t>
  </si>
  <si>
    <t>Jump Flight Time (Android):</t>
  </si>
  <si>
    <t>Jump Flight Time (BioPlux):</t>
  </si>
  <si>
    <t>Gilberto</t>
  </si>
  <si>
    <t>Ivan</t>
  </si>
  <si>
    <t>Patricia</t>
  </si>
  <si>
    <t>Maria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</si>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</sst>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0" xfId="0" applyFont="1" applyAlignment="1"/>
    <xf numFmtId="0" fontId="0" fillId="4" borderId="0" xfId="0" applyFont="1" applyFill="1" applyAlignment="1"/>
    <xf numFmtId="0" fontId="5" fillId="0" borderId="0" xfId="0" applyFont="1" applyAlignme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1"/>
  <sheetViews>
    <sheetView tabSelected="1" topLeftCell="F1" workbookViewId="0">
      <selection activeCell="J1" sqref="J1"/>
    </sheetView>
  </sheetViews>
  <sheetFormatPr defaultColWidth="11" defaultRowHeight="15.5" x14ac:dyDescent="0.35"/>
  <cols>
    <col min="1" max="1" width="15.83203125" bestFit="1" customWidth="1"/>
    <col min="6" max="6" width="26.83203125" style="3" bestFit="1" customWidth="1"/>
    <col min="7" max="7" width="26.6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</v>
      </c>
      <c r="G1" s="1" t="s">
        <v>11</v>
      </c>
      <c r="H1" s="1" t="s">
        <v>7</v>
      </c>
      <c r="J1" s="5" t="s">
        <v>16</v>
      </c>
    </row>
    <row r="2" spans="1:11" x14ac:dyDescent="0.35">
      <c r="A2">
        <v>1</v>
      </c>
      <c r="B2">
        <v>31</v>
      </c>
      <c r="C2">
        <v>70</v>
      </c>
      <c r="D2">
        <v>175</v>
      </c>
      <c r="E2" t="s">
        <v>5</v>
      </c>
      <c r="F2" s="3">
        <v>429</v>
      </c>
      <c r="G2">
        <f>1264-809</f>
        <v>455</v>
      </c>
      <c r="I2">
        <f>(F2-G2)/F2</f>
        <v>-6.0606060606060608E-2</v>
      </c>
      <c r="J2" s="6" t="s">
        <v>12</v>
      </c>
    </row>
    <row r="3" spans="1:11" x14ac:dyDescent="0.35">
      <c r="A3">
        <v>2</v>
      </c>
      <c r="B3">
        <v>31</v>
      </c>
      <c r="C3">
        <v>70</v>
      </c>
      <c r="D3">
        <v>175</v>
      </c>
      <c r="E3" t="s">
        <v>5</v>
      </c>
      <c r="F3" s="3">
        <v>429</v>
      </c>
      <c r="G3">
        <f>1264-822</f>
        <v>442</v>
      </c>
      <c r="I3">
        <f>(F3-G3)/F3</f>
        <v>-3.0303030303030304E-2</v>
      </c>
      <c r="J3" s="6" t="s">
        <v>12</v>
      </c>
    </row>
    <row r="4" spans="1:11" x14ac:dyDescent="0.35">
      <c r="A4">
        <v>3</v>
      </c>
      <c r="B4">
        <v>31</v>
      </c>
      <c r="C4">
        <v>70</v>
      </c>
      <c r="D4">
        <v>175</v>
      </c>
      <c r="E4" t="s">
        <v>5</v>
      </c>
      <c r="F4" s="3">
        <v>421</v>
      </c>
      <c r="G4">
        <f>2323-1940</f>
        <v>383</v>
      </c>
      <c r="I4">
        <f>(F4-G4)/F4</f>
        <v>9.0261282660332537E-2</v>
      </c>
      <c r="J4" s="6" t="s">
        <v>12</v>
      </c>
      <c r="K4" t="s">
        <v>9</v>
      </c>
    </row>
    <row r="5" spans="1:11" x14ac:dyDescent="0.35">
      <c r="A5">
        <v>4</v>
      </c>
      <c r="B5">
        <v>31</v>
      </c>
      <c r="C5">
        <v>70</v>
      </c>
      <c r="D5">
        <v>175</v>
      </c>
      <c r="E5" t="s">
        <v>5</v>
      </c>
      <c r="F5" s="3">
        <v>420</v>
      </c>
      <c r="G5">
        <f>481-84</f>
        <v>397</v>
      </c>
      <c r="I5">
        <f>(F5-G5)/F5</f>
        <v>5.4761904761904762E-2</v>
      </c>
      <c r="J5" s="6" t="s">
        <v>12</v>
      </c>
    </row>
    <row r="6" spans="1:11" x14ac:dyDescent="0.35">
      <c r="A6">
        <v>5</v>
      </c>
      <c r="B6">
        <v>31</v>
      </c>
      <c r="C6">
        <v>70</v>
      </c>
      <c r="D6">
        <v>175</v>
      </c>
      <c r="E6" t="s">
        <v>5</v>
      </c>
      <c r="F6" s="3">
        <v>403</v>
      </c>
      <c r="G6">
        <f>2181-1797</f>
        <v>384</v>
      </c>
      <c r="I6">
        <f>(F6-G6)/F6</f>
        <v>4.7146401985111663E-2</v>
      </c>
      <c r="J6" s="6" t="s">
        <v>12</v>
      </c>
    </row>
    <row r="7" spans="1:11" x14ac:dyDescent="0.35">
      <c r="A7">
        <v>6</v>
      </c>
      <c r="B7">
        <v>31</v>
      </c>
      <c r="C7">
        <v>70</v>
      </c>
      <c r="D7">
        <v>175</v>
      </c>
      <c r="E7" t="s">
        <v>5</v>
      </c>
      <c r="F7" s="3">
        <v>378</v>
      </c>
      <c r="G7">
        <f>2878-2519</f>
        <v>359</v>
      </c>
      <c r="I7">
        <f>(F7-G7)/F7</f>
        <v>5.0264550264550262E-2</v>
      </c>
      <c r="J7" s="6" t="s">
        <v>12</v>
      </c>
    </row>
    <row r="8" spans="1:11" x14ac:dyDescent="0.35">
      <c r="A8">
        <v>7</v>
      </c>
      <c r="B8">
        <v>31</v>
      </c>
      <c r="C8">
        <v>70</v>
      </c>
      <c r="D8">
        <v>175</v>
      </c>
      <c r="E8" t="s">
        <v>5</v>
      </c>
      <c r="F8" s="3">
        <v>364</v>
      </c>
      <c r="G8">
        <f>2552-2169</f>
        <v>383</v>
      </c>
      <c r="I8">
        <f>(F8-G8)/F8</f>
        <v>-5.21978021978022E-2</v>
      </c>
      <c r="J8" s="6" t="s">
        <v>12</v>
      </c>
    </row>
    <row r="9" spans="1:11" x14ac:dyDescent="0.35">
      <c r="A9">
        <v>8</v>
      </c>
      <c r="B9">
        <v>31</v>
      </c>
      <c r="C9">
        <v>70</v>
      </c>
      <c r="D9">
        <v>175</v>
      </c>
      <c r="E9" t="s">
        <v>5</v>
      </c>
      <c r="F9" s="3">
        <v>429</v>
      </c>
      <c r="G9">
        <f>2637-2273</f>
        <v>364</v>
      </c>
      <c r="I9">
        <f>(F9-G9)/F9</f>
        <v>0.15151515151515152</v>
      </c>
      <c r="J9" s="6" t="s">
        <v>12</v>
      </c>
    </row>
    <row r="10" spans="1:11" x14ac:dyDescent="0.35">
      <c r="A10">
        <v>9</v>
      </c>
      <c r="B10">
        <v>31</v>
      </c>
      <c r="C10">
        <v>70</v>
      </c>
      <c r="D10">
        <v>175</v>
      </c>
      <c r="E10" t="s">
        <v>5</v>
      </c>
      <c r="F10" s="3">
        <v>380</v>
      </c>
      <c r="G10">
        <f>2834-2448</f>
        <v>386</v>
      </c>
      <c r="I10">
        <f>(F10-G10)/F10</f>
        <v>-1.5789473684210527E-2</v>
      </c>
      <c r="J10" s="6" t="s">
        <v>12</v>
      </c>
    </row>
    <row r="11" spans="1:11" x14ac:dyDescent="0.35">
      <c r="A11">
        <v>10</v>
      </c>
      <c r="B11">
        <v>31</v>
      </c>
      <c r="C11">
        <v>70</v>
      </c>
      <c r="D11">
        <v>175</v>
      </c>
      <c r="E11" t="s">
        <v>5</v>
      </c>
      <c r="F11" s="3">
        <v>397</v>
      </c>
      <c r="G11">
        <f>5126-4780</f>
        <v>346</v>
      </c>
      <c r="I11">
        <f>(F11-G11)/F11</f>
        <v>0.12846347607052896</v>
      </c>
      <c r="J11" s="6" t="s">
        <v>12</v>
      </c>
    </row>
    <row r="12" spans="1:11" x14ac:dyDescent="0.35">
      <c r="A12">
        <v>11</v>
      </c>
      <c r="B12">
        <v>31</v>
      </c>
      <c r="C12">
        <v>70</v>
      </c>
      <c r="D12">
        <v>175</v>
      </c>
      <c r="E12" t="s">
        <v>5</v>
      </c>
      <c r="F12" s="3">
        <v>412</v>
      </c>
      <c r="G12">
        <f>2761-2399</f>
        <v>362</v>
      </c>
      <c r="I12">
        <f>(F12-G12)/F12</f>
        <v>0.12135922330097088</v>
      </c>
      <c r="J12" s="6" t="s">
        <v>12</v>
      </c>
    </row>
    <row r="13" spans="1:11" x14ac:dyDescent="0.35">
      <c r="A13">
        <v>12</v>
      </c>
      <c r="B13">
        <v>31</v>
      </c>
      <c r="C13">
        <v>70</v>
      </c>
      <c r="D13">
        <v>175</v>
      </c>
      <c r="E13" t="s">
        <v>5</v>
      </c>
      <c r="F13" s="3">
        <v>366</v>
      </c>
      <c r="G13">
        <f>3265-2898</f>
        <v>367</v>
      </c>
      <c r="I13">
        <f>(F13-G13)/F13</f>
        <v>-2.7322404371584699E-3</v>
      </c>
      <c r="J13" s="6" t="s">
        <v>12</v>
      </c>
    </row>
    <row r="14" spans="1:11" x14ac:dyDescent="0.35">
      <c r="A14">
        <v>13</v>
      </c>
      <c r="B14">
        <v>31</v>
      </c>
      <c r="C14">
        <v>70</v>
      </c>
      <c r="D14">
        <v>175</v>
      </c>
      <c r="E14" t="s">
        <v>5</v>
      </c>
      <c r="F14" s="3">
        <v>396</v>
      </c>
      <c r="G14">
        <f>5407-5037</f>
        <v>370</v>
      </c>
      <c r="I14">
        <f>(F14-G14)/F14</f>
        <v>6.5656565656565663E-2</v>
      </c>
      <c r="J14" s="6" t="s">
        <v>12</v>
      </c>
    </row>
    <row r="15" spans="1:11" x14ac:dyDescent="0.35">
      <c r="A15">
        <v>14</v>
      </c>
      <c r="B15">
        <v>31</v>
      </c>
      <c r="C15">
        <v>70</v>
      </c>
      <c r="D15">
        <v>175</v>
      </c>
      <c r="E15" t="s">
        <v>5</v>
      </c>
      <c r="F15" s="3">
        <v>380</v>
      </c>
      <c r="G15">
        <f>2807-2421</f>
        <v>386</v>
      </c>
      <c r="I15">
        <f>(F15-G15)/F15</f>
        <v>-1.5789473684210527E-2</v>
      </c>
      <c r="J15" s="6" t="s">
        <v>12</v>
      </c>
    </row>
    <row r="16" spans="1:11" x14ac:dyDescent="0.35">
      <c r="A16">
        <v>15</v>
      </c>
      <c r="B16">
        <v>31</v>
      </c>
      <c r="C16">
        <v>70</v>
      </c>
      <c r="D16">
        <v>175</v>
      </c>
      <c r="E16" t="s">
        <v>5</v>
      </c>
      <c r="F16" s="3">
        <v>514</v>
      </c>
      <c r="G16">
        <f>2603-2249</f>
        <v>354</v>
      </c>
      <c r="I16">
        <f>(F16-G16)/F16</f>
        <v>0.31128404669260701</v>
      </c>
      <c r="J16" s="6" t="s">
        <v>12</v>
      </c>
    </row>
    <row r="17" spans="1:10" x14ac:dyDescent="0.35">
      <c r="A17">
        <v>16</v>
      </c>
      <c r="B17">
        <v>31</v>
      </c>
      <c r="C17">
        <v>70</v>
      </c>
      <c r="D17">
        <v>175</v>
      </c>
      <c r="E17" t="s">
        <v>5</v>
      </c>
      <c r="F17" s="3">
        <v>332</v>
      </c>
      <c r="G17">
        <f>2484-2142</f>
        <v>342</v>
      </c>
      <c r="I17">
        <f>(F17-G17)/F17</f>
        <v>-3.0120481927710843E-2</v>
      </c>
      <c r="J17" s="6" t="s">
        <v>12</v>
      </c>
    </row>
    <row r="18" spans="1:10" x14ac:dyDescent="0.35">
      <c r="A18">
        <v>17</v>
      </c>
      <c r="B18">
        <v>31</v>
      </c>
      <c r="C18">
        <v>70</v>
      </c>
      <c r="D18">
        <v>175</v>
      </c>
      <c r="E18" t="s">
        <v>5</v>
      </c>
      <c r="F18" s="3">
        <v>397</v>
      </c>
      <c r="G18">
        <f>2938-2570</f>
        <v>368</v>
      </c>
      <c r="I18">
        <f>(F18-G18)/F18</f>
        <v>7.3047858942065488E-2</v>
      </c>
      <c r="J18" s="6" t="s">
        <v>12</v>
      </c>
    </row>
    <row r="19" spans="1:10" x14ac:dyDescent="0.35">
      <c r="A19">
        <v>18</v>
      </c>
      <c r="B19">
        <v>31</v>
      </c>
      <c r="C19">
        <v>70</v>
      </c>
      <c r="D19">
        <v>175</v>
      </c>
      <c r="E19" t="s">
        <v>5</v>
      </c>
      <c r="F19" s="3">
        <v>365</v>
      </c>
      <c r="G19">
        <f>2937-2572</f>
        <v>365</v>
      </c>
      <c r="I19">
        <f>(F19-G19)/F19</f>
        <v>0</v>
      </c>
      <c r="J19" s="6" t="s">
        <v>12</v>
      </c>
    </row>
    <row r="20" spans="1:10" x14ac:dyDescent="0.35">
      <c r="A20">
        <v>19</v>
      </c>
      <c r="B20">
        <v>31</v>
      </c>
      <c r="C20">
        <v>70</v>
      </c>
      <c r="D20">
        <v>175</v>
      </c>
      <c r="E20" t="s">
        <v>5</v>
      </c>
      <c r="F20" s="3">
        <v>379</v>
      </c>
      <c r="G20">
        <f>2233-1873</f>
        <v>360</v>
      </c>
      <c r="I20">
        <f>(F20-G20)/F20</f>
        <v>5.0131926121372031E-2</v>
      </c>
      <c r="J20" s="6" t="s">
        <v>12</v>
      </c>
    </row>
    <row r="21" spans="1:10" x14ac:dyDescent="0.35">
      <c r="A21">
        <v>20</v>
      </c>
      <c r="B21">
        <v>31</v>
      </c>
      <c r="C21">
        <v>70</v>
      </c>
      <c r="D21">
        <v>175</v>
      </c>
      <c r="E21" t="s">
        <v>5</v>
      </c>
      <c r="F21" s="3">
        <v>396</v>
      </c>
      <c r="G21">
        <f>3325-2967</f>
        <v>358</v>
      </c>
      <c r="I21">
        <f>(F21-G21)/F21</f>
        <v>9.5959595959595953E-2</v>
      </c>
      <c r="J21" s="6" t="s">
        <v>12</v>
      </c>
    </row>
    <row r="22" spans="1:10" x14ac:dyDescent="0.35">
      <c r="A22">
        <v>21</v>
      </c>
      <c r="B22">
        <v>31</v>
      </c>
      <c r="C22">
        <v>70</v>
      </c>
      <c r="D22">
        <v>175</v>
      </c>
      <c r="E22" t="s">
        <v>5</v>
      </c>
      <c r="F22" s="3">
        <v>518</v>
      </c>
      <c r="G22">
        <f>2858-2520</f>
        <v>338</v>
      </c>
      <c r="I22">
        <f>(F22-G22)/F22</f>
        <v>0.34749034749034752</v>
      </c>
      <c r="J22" s="6" t="s">
        <v>12</v>
      </c>
    </row>
    <row r="23" spans="1:10" x14ac:dyDescent="0.35">
      <c r="A23">
        <v>22</v>
      </c>
      <c r="B23">
        <v>31</v>
      </c>
      <c r="C23">
        <v>70</v>
      </c>
      <c r="D23">
        <v>175</v>
      </c>
      <c r="E23" t="s">
        <v>5</v>
      </c>
      <c r="F23" s="3">
        <v>366</v>
      </c>
      <c r="G23">
        <f>2356-1975</f>
        <v>381</v>
      </c>
      <c r="I23">
        <f>(F23-G23)/F23</f>
        <v>-4.0983606557377046E-2</v>
      </c>
      <c r="J23" s="6" t="s">
        <v>12</v>
      </c>
    </row>
    <row r="24" spans="1:10" x14ac:dyDescent="0.35">
      <c r="A24">
        <v>23</v>
      </c>
      <c r="B24">
        <v>31</v>
      </c>
      <c r="C24">
        <v>70</v>
      </c>
      <c r="D24">
        <v>175</v>
      </c>
      <c r="E24" t="s">
        <v>5</v>
      </c>
      <c r="F24" s="3">
        <v>265</v>
      </c>
      <c r="G24">
        <f>2588-2202</f>
        <v>386</v>
      </c>
      <c r="I24">
        <f>(F24-G24)/F24</f>
        <v>-0.45660377358490567</v>
      </c>
      <c r="J24" s="6" t="s">
        <v>12</v>
      </c>
    </row>
    <row r="25" spans="1:10" x14ac:dyDescent="0.35">
      <c r="A25">
        <v>24</v>
      </c>
      <c r="B25">
        <v>31</v>
      </c>
      <c r="C25">
        <v>70</v>
      </c>
      <c r="D25">
        <v>175</v>
      </c>
      <c r="E25" t="s">
        <v>5</v>
      </c>
      <c r="F25" s="3">
        <v>395</v>
      </c>
      <c r="G25">
        <f>2374-1983</f>
        <v>391</v>
      </c>
      <c r="I25">
        <f>(F25-G25)/F25</f>
        <v>1.0126582278481013E-2</v>
      </c>
      <c r="J25" s="6" t="s">
        <v>12</v>
      </c>
    </row>
    <row r="26" spans="1:10" x14ac:dyDescent="0.35">
      <c r="A26">
        <v>25</v>
      </c>
      <c r="B26">
        <v>31</v>
      </c>
      <c r="C26">
        <v>70</v>
      </c>
      <c r="D26">
        <v>175</v>
      </c>
      <c r="E26" t="s">
        <v>5</v>
      </c>
      <c r="F26" s="3">
        <v>397</v>
      </c>
      <c r="G26">
        <f>2545-2163</f>
        <v>382</v>
      </c>
      <c r="I26">
        <f>(F26-G26)/F26</f>
        <v>3.7783375314861464E-2</v>
      </c>
      <c r="J26" s="6" t="s">
        <v>12</v>
      </c>
    </row>
    <row r="27" spans="1:10" x14ac:dyDescent="0.35">
      <c r="A27">
        <v>26</v>
      </c>
      <c r="B27">
        <v>31</v>
      </c>
      <c r="C27">
        <v>70</v>
      </c>
      <c r="D27">
        <v>175</v>
      </c>
      <c r="E27" t="s">
        <v>5</v>
      </c>
      <c r="F27" s="3">
        <v>381</v>
      </c>
      <c r="G27">
        <f>3351-2984</f>
        <v>367</v>
      </c>
      <c r="I27">
        <f>(F27-G27)/F27</f>
        <v>3.6745406824146981E-2</v>
      </c>
      <c r="J27" s="6" t="s">
        <v>12</v>
      </c>
    </row>
    <row r="28" spans="1:10" x14ac:dyDescent="0.35">
      <c r="A28">
        <v>27</v>
      </c>
      <c r="B28">
        <v>31</v>
      </c>
      <c r="C28">
        <v>70</v>
      </c>
      <c r="D28">
        <v>175</v>
      </c>
      <c r="E28" t="s">
        <v>5</v>
      </c>
      <c r="F28" s="3">
        <v>365</v>
      </c>
      <c r="G28">
        <f>2555-2182</f>
        <v>373</v>
      </c>
      <c r="I28">
        <f>(F28-G28)/F28</f>
        <v>-2.1917808219178082E-2</v>
      </c>
      <c r="J28" s="6" t="s">
        <v>12</v>
      </c>
    </row>
    <row r="29" spans="1:10" x14ac:dyDescent="0.35">
      <c r="A29">
        <v>28</v>
      </c>
      <c r="B29">
        <v>31</v>
      </c>
      <c r="C29">
        <v>70</v>
      </c>
      <c r="D29">
        <v>175</v>
      </c>
      <c r="E29" t="s">
        <v>5</v>
      </c>
      <c r="F29" s="4">
        <v>1174</v>
      </c>
      <c r="G29">
        <f>2379-2014</f>
        <v>365</v>
      </c>
      <c r="H29" t="s">
        <v>8</v>
      </c>
      <c r="I29">
        <f>(F29-G29)/F29</f>
        <v>0.68909710391822832</v>
      </c>
      <c r="J29" s="6" t="s">
        <v>12</v>
      </c>
    </row>
    <row r="30" spans="1:10" x14ac:dyDescent="0.35">
      <c r="A30">
        <v>29</v>
      </c>
      <c r="B30">
        <v>31</v>
      </c>
      <c r="C30">
        <v>70</v>
      </c>
      <c r="D30">
        <v>175</v>
      </c>
      <c r="E30" t="s">
        <v>5</v>
      </c>
      <c r="F30" s="3">
        <v>398</v>
      </c>
      <c r="G30">
        <f>2366-1966</f>
        <v>400</v>
      </c>
      <c r="I30">
        <f>(F30-G30)/F30</f>
        <v>-5.0251256281407036E-3</v>
      </c>
      <c r="J30" s="6" t="s">
        <v>12</v>
      </c>
    </row>
    <row r="31" spans="1:10" x14ac:dyDescent="0.35">
      <c r="A31">
        <v>30</v>
      </c>
      <c r="B31">
        <v>31</v>
      </c>
      <c r="C31">
        <v>70</v>
      </c>
      <c r="D31">
        <v>175</v>
      </c>
      <c r="E31" t="s">
        <v>5</v>
      </c>
      <c r="F31" s="3">
        <v>416</v>
      </c>
      <c r="G31">
        <f>2653-2260</f>
        <v>393</v>
      </c>
      <c r="I31">
        <f>(F31-G31)/F31</f>
        <v>5.5288461538461536E-2</v>
      </c>
      <c r="J31" s="6" t="s">
        <v>12</v>
      </c>
    </row>
    <row r="32" spans="1:10" x14ac:dyDescent="0.35">
      <c r="A32">
        <v>31</v>
      </c>
      <c r="B32">
        <v>31</v>
      </c>
      <c r="C32">
        <v>70</v>
      </c>
      <c r="D32">
        <v>175</v>
      </c>
      <c r="E32" t="s">
        <v>5</v>
      </c>
      <c r="F32" s="3">
        <v>294</v>
      </c>
      <c r="G32">
        <f>2077-1677</f>
        <v>400</v>
      </c>
      <c r="I32">
        <f>(F32-G32)/F32</f>
        <v>-0.36054421768707484</v>
      </c>
      <c r="J32" s="6" t="s">
        <v>12</v>
      </c>
    </row>
    <row r="33" spans="1:10" x14ac:dyDescent="0.35">
      <c r="A33">
        <v>32</v>
      </c>
      <c r="B33">
        <v>31</v>
      </c>
      <c r="C33">
        <v>70</v>
      </c>
      <c r="D33">
        <v>175</v>
      </c>
      <c r="E33" t="s">
        <v>5</v>
      </c>
      <c r="F33" s="4">
        <v>694</v>
      </c>
      <c r="G33">
        <f>2397-2039</f>
        <v>358</v>
      </c>
      <c r="H33" t="s">
        <v>8</v>
      </c>
      <c r="I33">
        <f>(F33-G33)/F33</f>
        <v>0.48414985590778098</v>
      </c>
      <c r="J33" s="6" t="s">
        <v>12</v>
      </c>
    </row>
    <row r="34" spans="1:10" x14ac:dyDescent="0.35">
      <c r="A34">
        <v>33</v>
      </c>
      <c r="B34">
        <v>31</v>
      </c>
      <c r="C34">
        <v>70</v>
      </c>
      <c r="D34">
        <v>175</v>
      </c>
      <c r="E34" t="s">
        <v>5</v>
      </c>
      <c r="F34" s="3">
        <v>178</v>
      </c>
      <c r="G34">
        <f>2451-2080</f>
        <v>371</v>
      </c>
      <c r="I34">
        <f>(F34-G34)/F34</f>
        <v>-1.0842696629213484</v>
      </c>
      <c r="J34" s="6" t="s">
        <v>12</v>
      </c>
    </row>
    <row r="35" spans="1:10" x14ac:dyDescent="0.35">
      <c r="A35">
        <v>34</v>
      </c>
      <c r="B35">
        <v>31</v>
      </c>
      <c r="C35">
        <v>70</v>
      </c>
      <c r="D35">
        <v>175</v>
      </c>
      <c r="E35" t="s">
        <v>5</v>
      </c>
      <c r="F35" s="4">
        <v>676</v>
      </c>
      <c r="G35">
        <f>2410-2004</f>
        <v>406</v>
      </c>
      <c r="H35" t="s">
        <v>8</v>
      </c>
      <c r="I35">
        <f>(F35-G35)/F35</f>
        <v>0.39940828402366862</v>
      </c>
      <c r="J35" s="6" t="s">
        <v>12</v>
      </c>
    </row>
    <row r="36" spans="1:10" x14ac:dyDescent="0.35">
      <c r="A36">
        <v>35</v>
      </c>
      <c r="B36">
        <v>31</v>
      </c>
      <c r="C36">
        <v>70</v>
      </c>
      <c r="D36">
        <v>175</v>
      </c>
      <c r="E36" t="s">
        <v>5</v>
      </c>
      <c r="F36" s="3">
        <v>435</v>
      </c>
      <c r="G36">
        <f>2659-2245</f>
        <v>414</v>
      </c>
      <c r="I36">
        <f>(F36-G36)/F36</f>
        <v>4.8275862068965517E-2</v>
      </c>
      <c r="J36" s="6" t="s">
        <v>12</v>
      </c>
    </row>
    <row r="37" spans="1:10" x14ac:dyDescent="0.35">
      <c r="A37">
        <v>36</v>
      </c>
      <c r="B37">
        <v>31</v>
      </c>
      <c r="C37">
        <v>70</v>
      </c>
      <c r="D37">
        <v>175</v>
      </c>
      <c r="E37" t="s">
        <v>5</v>
      </c>
      <c r="F37" s="4">
        <v>679</v>
      </c>
      <c r="G37">
        <f>2830-2440</f>
        <v>390</v>
      </c>
      <c r="H37" t="s">
        <v>8</v>
      </c>
      <c r="I37">
        <f>(F37-G37)/F37</f>
        <v>0.42562592047128128</v>
      </c>
      <c r="J37" s="6" t="s">
        <v>12</v>
      </c>
    </row>
    <row r="38" spans="1:10" x14ac:dyDescent="0.35">
      <c r="A38">
        <v>37</v>
      </c>
      <c r="B38">
        <v>31</v>
      </c>
      <c r="C38">
        <v>70</v>
      </c>
      <c r="D38">
        <v>175</v>
      </c>
      <c r="E38" t="s">
        <v>5</v>
      </c>
      <c r="F38" s="3">
        <v>447</v>
      </c>
      <c r="G38">
        <f>2482-2088</f>
        <v>394</v>
      </c>
      <c r="I38">
        <f>(F38-G38)/F38</f>
        <v>0.11856823266219239</v>
      </c>
      <c r="J38" s="6" t="s">
        <v>12</v>
      </c>
    </row>
    <row r="39" spans="1:10" x14ac:dyDescent="0.35">
      <c r="A39">
        <v>38</v>
      </c>
      <c r="B39">
        <v>31</v>
      </c>
      <c r="C39">
        <v>70</v>
      </c>
      <c r="D39">
        <v>175</v>
      </c>
      <c r="E39" t="s">
        <v>5</v>
      </c>
      <c r="F39" s="4">
        <v>1156</v>
      </c>
      <c r="G39">
        <f>3051-2662</f>
        <v>389</v>
      </c>
      <c r="H39" t="s">
        <v>8</v>
      </c>
      <c r="I39">
        <f>(F39-G39)/F39</f>
        <v>0.66349480968858132</v>
      </c>
      <c r="J39" s="7" t="s">
        <v>12</v>
      </c>
    </row>
    <row r="40" spans="1:10" x14ac:dyDescent="0.35">
      <c r="A40">
        <v>39</v>
      </c>
      <c r="B40">
        <v>31</v>
      </c>
      <c r="C40">
        <v>70</v>
      </c>
      <c r="D40">
        <v>175</v>
      </c>
      <c r="E40" t="s">
        <v>5</v>
      </c>
      <c r="F40" s="3">
        <v>412</v>
      </c>
      <c r="G40">
        <f>2769-2397</f>
        <v>372</v>
      </c>
      <c r="I40">
        <f>(F40-G40)/F40</f>
        <v>9.7087378640776698E-2</v>
      </c>
      <c r="J40" s="6" t="s">
        <v>12</v>
      </c>
    </row>
    <row r="41" spans="1:10" x14ac:dyDescent="0.35">
      <c r="A41">
        <v>40</v>
      </c>
      <c r="B41">
        <v>31</v>
      </c>
      <c r="C41">
        <v>70</v>
      </c>
      <c r="D41">
        <v>175</v>
      </c>
      <c r="E41" t="s">
        <v>5</v>
      </c>
      <c r="F41" s="3">
        <v>365</v>
      </c>
      <c r="G41">
        <f>2345-1966</f>
        <v>379</v>
      </c>
      <c r="I41">
        <f>(F41-G41)/F41</f>
        <v>-3.8356164383561646E-2</v>
      </c>
      <c r="J41" s="6" t="s">
        <v>12</v>
      </c>
    </row>
    <row r="42" spans="1:10" x14ac:dyDescent="0.35">
      <c r="A42">
        <v>41</v>
      </c>
      <c r="B42">
        <v>31</v>
      </c>
      <c r="C42">
        <v>70</v>
      </c>
      <c r="D42">
        <v>175</v>
      </c>
      <c r="E42" t="s">
        <v>5</v>
      </c>
      <c r="F42" s="4">
        <v>1170</v>
      </c>
      <c r="G42">
        <f>2333-1916</f>
        <v>417</v>
      </c>
      <c r="H42" t="s">
        <v>8</v>
      </c>
      <c r="I42">
        <f>(F42-G42)/F42</f>
        <v>0.64358974358974363</v>
      </c>
      <c r="J42" s="7" t="s">
        <v>12</v>
      </c>
    </row>
    <row r="43" spans="1:10" x14ac:dyDescent="0.35">
      <c r="A43">
        <v>42</v>
      </c>
      <c r="B43">
        <v>31</v>
      </c>
      <c r="C43">
        <v>70</v>
      </c>
      <c r="D43">
        <v>175</v>
      </c>
      <c r="E43" t="s">
        <v>5</v>
      </c>
      <c r="F43" s="3">
        <v>444</v>
      </c>
      <c r="G43">
        <f>2503-2096</f>
        <v>407</v>
      </c>
      <c r="I43">
        <f>(F43-G43)/F43</f>
        <v>8.3333333333333329E-2</v>
      </c>
      <c r="J43" s="6" t="s">
        <v>12</v>
      </c>
    </row>
    <row r="44" spans="1:10" x14ac:dyDescent="0.35">
      <c r="A44">
        <v>43</v>
      </c>
      <c r="B44">
        <v>31</v>
      </c>
      <c r="C44">
        <v>70</v>
      </c>
      <c r="D44">
        <v>175</v>
      </c>
      <c r="E44" t="s">
        <v>5</v>
      </c>
      <c r="F44" s="3">
        <v>448</v>
      </c>
      <c r="G44">
        <f>3278-2869</f>
        <v>409</v>
      </c>
      <c r="I44">
        <f>(F44-G44)/F44</f>
        <v>8.7053571428571425E-2</v>
      </c>
      <c r="J44" s="6" t="s">
        <v>12</v>
      </c>
    </row>
    <row r="45" spans="1:10" x14ac:dyDescent="0.35">
      <c r="A45">
        <v>44</v>
      </c>
      <c r="B45">
        <v>31</v>
      </c>
      <c r="C45">
        <v>70</v>
      </c>
      <c r="D45">
        <v>175</v>
      </c>
      <c r="E45" t="s">
        <v>5</v>
      </c>
      <c r="F45" s="4">
        <v>710</v>
      </c>
      <c r="G45">
        <f>2324-1942</f>
        <v>382</v>
      </c>
      <c r="H45" t="s">
        <v>8</v>
      </c>
      <c r="I45">
        <f>(F45-G45)/F45</f>
        <v>0.46197183098591549</v>
      </c>
      <c r="J45" s="6" t="s">
        <v>12</v>
      </c>
    </row>
    <row r="46" spans="1:10" x14ac:dyDescent="0.35">
      <c r="A46">
        <v>45</v>
      </c>
      <c r="B46">
        <v>31</v>
      </c>
      <c r="C46">
        <v>70</v>
      </c>
      <c r="D46">
        <v>175</v>
      </c>
      <c r="E46" t="s">
        <v>5</v>
      </c>
      <c r="F46" s="3">
        <v>431</v>
      </c>
      <c r="G46">
        <f>2321-1914</f>
        <v>407</v>
      </c>
      <c r="I46">
        <f>(F46-G46)/F46</f>
        <v>5.5684454756380508E-2</v>
      </c>
      <c r="J46" s="6" t="s">
        <v>12</v>
      </c>
    </row>
    <row r="47" spans="1:10" x14ac:dyDescent="0.35">
      <c r="A47">
        <v>46</v>
      </c>
      <c r="B47">
        <v>31</v>
      </c>
      <c r="C47">
        <v>70</v>
      </c>
      <c r="D47">
        <v>175</v>
      </c>
      <c r="E47" t="s">
        <v>5</v>
      </c>
      <c r="F47" s="3">
        <v>330</v>
      </c>
      <c r="G47">
        <f>2292-1899</f>
        <v>393</v>
      </c>
      <c r="I47">
        <f>(F47-G47)/F47</f>
        <v>-0.19090909090909092</v>
      </c>
      <c r="J47" s="6" t="s">
        <v>12</v>
      </c>
    </row>
    <row r="48" spans="1:10" x14ac:dyDescent="0.35">
      <c r="A48">
        <v>47</v>
      </c>
      <c r="B48">
        <v>31</v>
      </c>
      <c r="C48">
        <v>70</v>
      </c>
      <c r="D48">
        <v>175</v>
      </c>
      <c r="E48" t="s">
        <v>5</v>
      </c>
      <c r="F48" s="4">
        <v>774</v>
      </c>
      <c r="G48">
        <f>2463-2078</f>
        <v>385</v>
      </c>
      <c r="H48" t="s">
        <v>8</v>
      </c>
      <c r="I48">
        <f>(F48-G48)/F48</f>
        <v>0.50258397932816534</v>
      </c>
      <c r="J48" s="6" t="s">
        <v>12</v>
      </c>
    </row>
    <row r="49" spans="1:10" x14ac:dyDescent="0.35">
      <c r="A49">
        <v>48</v>
      </c>
      <c r="B49">
        <v>31</v>
      </c>
      <c r="C49">
        <v>70</v>
      </c>
      <c r="D49">
        <v>175</v>
      </c>
      <c r="E49" t="s">
        <v>5</v>
      </c>
      <c r="F49" s="3">
        <v>412</v>
      </c>
      <c r="G49">
        <f>2014-1652</f>
        <v>362</v>
      </c>
      <c r="I49">
        <f>(F49-G49)/F49</f>
        <v>0.12135922330097088</v>
      </c>
      <c r="J49" s="6" t="s">
        <v>12</v>
      </c>
    </row>
    <row r="50" spans="1:10" x14ac:dyDescent="0.35">
      <c r="A50">
        <v>49</v>
      </c>
      <c r="B50">
        <v>31</v>
      </c>
      <c r="C50">
        <v>70</v>
      </c>
      <c r="D50">
        <v>175</v>
      </c>
      <c r="E50" t="s">
        <v>5</v>
      </c>
      <c r="F50" s="3">
        <v>506</v>
      </c>
      <c r="G50">
        <f>2467-2075</f>
        <v>392</v>
      </c>
      <c r="I50">
        <f>(F50-G50)/F50</f>
        <v>0.22529644268774704</v>
      </c>
      <c r="J50" s="6" t="s">
        <v>12</v>
      </c>
    </row>
    <row r="51" spans="1:10" x14ac:dyDescent="0.35">
      <c r="A51">
        <v>50</v>
      </c>
      <c r="B51">
        <v>31</v>
      </c>
      <c r="C51">
        <v>70</v>
      </c>
      <c r="D51">
        <v>175</v>
      </c>
      <c r="E51" t="s">
        <v>5</v>
      </c>
      <c r="F51" s="3">
        <v>412</v>
      </c>
      <c r="G51">
        <f>2616-2238</f>
        <v>378</v>
      </c>
      <c r="I51">
        <f>(F51-G51)/F51</f>
        <v>8.2524271844660199E-2</v>
      </c>
      <c r="J51" s="6" t="s">
        <v>12</v>
      </c>
    </row>
    <row r="52" spans="1:10" x14ac:dyDescent="0.35">
      <c r="A52">
        <v>51</v>
      </c>
      <c r="B52">
        <v>22</v>
      </c>
      <c r="C52">
        <v>78</v>
      </c>
      <c r="D52">
        <v>170</v>
      </c>
      <c r="E52" t="s">
        <v>5</v>
      </c>
      <c r="F52" s="3">
        <v>514</v>
      </c>
      <c r="G52">
        <f>1025-507</f>
        <v>518</v>
      </c>
      <c r="I52">
        <f>(F52-G52)/F52</f>
        <v>-7.7821011673151752E-3</v>
      </c>
      <c r="J52" s="6" t="s">
        <v>13</v>
      </c>
    </row>
    <row r="53" spans="1:10" x14ac:dyDescent="0.35">
      <c r="A53">
        <v>52</v>
      </c>
      <c r="B53">
        <v>22</v>
      </c>
      <c r="C53">
        <v>78</v>
      </c>
      <c r="D53">
        <v>170</v>
      </c>
      <c r="E53" t="s">
        <v>5</v>
      </c>
      <c r="F53" s="3">
        <v>433</v>
      </c>
      <c r="G53">
        <f>457-29</f>
        <v>428</v>
      </c>
      <c r="I53">
        <f>(F53-G53)/F53</f>
        <v>1.1547344110854504E-2</v>
      </c>
      <c r="J53" s="6" t="s">
        <v>13</v>
      </c>
    </row>
    <row r="54" spans="1:10" x14ac:dyDescent="0.35">
      <c r="A54">
        <v>53</v>
      </c>
      <c r="B54">
        <v>22</v>
      </c>
      <c r="C54">
        <v>78</v>
      </c>
      <c r="D54">
        <v>170</v>
      </c>
      <c r="E54" t="s">
        <v>5</v>
      </c>
      <c r="F54" s="3">
        <v>431</v>
      </c>
      <c r="G54">
        <f>872-479</f>
        <v>393</v>
      </c>
      <c r="I54">
        <f>(F54-G54)/F54</f>
        <v>8.8167053364269138E-2</v>
      </c>
      <c r="J54" s="6" t="s">
        <v>13</v>
      </c>
    </row>
    <row r="55" spans="1:10" x14ac:dyDescent="0.35">
      <c r="A55">
        <v>54</v>
      </c>
      <c r="B55">
        <v>22</v>
      </c>
      <c r="C55">
        <v>78</v>
      </c>
      <c r="D55">
        <v>170</v>
      </c>
      <c r="E55" t="s">
        <v>5</v>
      </c>
      <c r="F55" s="3">
        <v>416</v>
      </c>
      <c r="G55">
        <f>624-206</f>
        <v>418</v>
      </c>
      <c r="I55">
        <f>(F55-G55)/F55</f>
        <v>-4.807692307692308E-3</v>
      </c>
      <c r="J55" s="6" t="s">
        <v>13</v>
      </c>
    </row>
    <row r="56" spans="1:10" x14ac:dyDescent="0.35">
      <c r="A56">
        <v>55</v>
      </c>
      <c r="B56">
        <v>22</v>
      </c>
      <c r="C56">
        <v>78</v>
      </c>
      <c r="D56">
        <v>170</v>
      </c>
      <c r="E56" t="s">
        <v>5</v>
      </c>
      <c r="F56" s="3">
        <v>417</v>
      </c>
      <c r="G56">
        <f>1179-760</f>
        <v>419</v>
      </c>
      <c r="I56">
        <f>(F56-G56)/F56</f>
        <v>-4.7961630695443642E-3</v>
      </c>
      <c r="J56" s="6" t="s">
        <v>13</v>
      </c>
    </row>
    <row r="57" spans="1:10" x14ac:dyDescent="0.35">
      <c r="A57">
        <v>56</v>
      </c>
      <c r="B57">
        <v>22</v>
      </c>
      <c r="C57">
        <v>78</v>
      </c>
      <c r="D57">
        <v>170</v>
      </c>
      <c r="E57" t="s">
        <v>5</v>
      </c>
      <c r="F57" s="3">
        <v>365</v>
      </c>
      <c r="G57">
        <f>443-74</f>
        <v>369</v>
      </c>
      <c r="I57">
        <f>(F57-G57)/F57</f>
        <v>-1.0958904109589041E-2</v>
      </c>
      <c r="J57" s="6" t="s">
        <v>13</v>
      </c>
    </row>
    <row r="58" spans="1:10" x14ac:dyDescent="0.35">
      <c r="A58">
        <v>57</v>
      </c>
      <c r="B58">
        <v>22</v>
      </c>
      <c r="C58">
        <v>78</v>
      </c>
      <c r="D58">
        <v>170</v>
      </c>
      <c r="E58" t="s">
        <v>5</v>
      </c>
      <c r="F58" s="3">
        <v>448</v>
      </c>
      <c r="G58">
        <f>433-0</f>
        <v>433</v>
      </c>
      <c r="I58">
        <f>(F58-G58)/F58</f>
        <v>3.3482142857142856E-2</v>
      </c>
      <c r="J58" s="6" t="s">
        <v>13</v>
      </c>
    </row>
    <row r="59" spans="1:10" x14ac:dyDescent="0.35">
      <c r="A59">
        <v>58</v>
      </c>
      <c r="B59">
        <v>22</v>
      </c>
      <c r="C59">
        <v>78</v>
      </c>
      <c r="D59">
        <v>170</v>
      </c>
      <c r="E59" t="s">
        <v>5</v>
      </c>
      <c r="F59" s="3">
        <v>413</v>
      </c>
      <c r="G59">
        <f>549-0</f>
        <v>549</v>
      </c>
      <c r="I59">
        <f>(F59-G59)/F59</f>
        <v>-0.32929782082324455</v>
      </c>
      <c r="J59" s="6" t="s">
        <v>13</v>
      </c>
    </row>
    <row r="60" spans="1:10" x14ac:dyDescent="0.35">
      <c r="A60">
        <v>59</v>
      </c>
      <c r="B60">
        <v>22</v>
      </c>
      <c r="C60">
        <v>78</v>
      </c>
      <c r="D60">
        <v>170</v>
      </c>
      <c r="E60" t="s">
        <v>5</v>
      </c>
      <c r="F60" s="3">
        <v>430</v>
      </c>
      <c r="G60">
        <f>810-377</f>
        <v>433</v>
      </c>
      <c r="I60">
        <f>(F60-G60)/F60</f>
        <v>-6.9767441860465115E-3</v>
      </c>
      <c r="J60" s="6" t="s">
        <v>13</v>
      </c>
    </row>
    <row r="61" spans="1:10" x14ac:dyDescent="0.35">
      <c r="A61">
        <v>60</v>
      </c>
      <c r="B61">
        <v>22</v>
      </c>
      <c r="C61">
        <v>78</v>
      </c>
      <c r="D61">
        <v>170</v>
      </c>
      <c r="E61" t="s">
        <v>5</v>
      </c>
      <c r="F61" s="3">
        <v>414</v>
      </c>
      <c r="G61">
        <f>402-0</f>
        <v>402</v>
      </c>
      <c r="I61">
        <f>(F61-G61)/F61</f>
        <v>2.8985507246376812E-2</v>
      </c>
      <c r="J61" s="6" t="s">
        <v>13</v>
      </c>
    </row>
    <row r="62" spans="1:10" x14ac:dyDescent="0.35">
      <c r="A62">
        <v>61</v>
      </c>
      <c r="B62">
        <v>22</v>
      </c>
      <c r="C62">
        <v>78</v>
      </c>
      <c r="D62">
        <v>170</v>
      </c>
      <c r="E62" t="s">
        <v>5</v>
      </c>
      <c r="F62" s="3">
        <v>449</v>
      </c>
      <c r="G62">
        <f>1032-676</f>
        <v>356</v>
      </c>
      <c r="I62">
        <f>(F62-G62)/F62</f>
        <v>0.20712694877505569</v>
      </c>
      <c r="J62" s="6" t="s">
        <v>13</v>
      </c>
    </row>
    <row r="63" spans="1:10" x14ac:dyDescent="0.35">
      <c r="A63">
        <v>62</v>
      </c>
      <c r="B63">
        <v>22</v>
      </c>
      <c r="C63">
        <v>78</v>
      </c>
      <c r="D63">
        <v>170</v>
      </c>
      <c r="E63" t="s">
        <v>5</v>
      </c>
      <c r="F63" s="3">
        <v>431</v>
      </c>
      <c r="G63">
        <f>522-90</f>
        <v>432</v>
      </c>
      <c r="I63">
        <f>(F63-G63)/F63</f>
        <v>-2.3201856148491878E-3</v>
      </c>
      <c r="J63" s="6" t="s">
        <v>13</v>
      </c>
    </row>
    <row r="64" spans="1:10" x14ac:dyDescent="0.35">
      <c r="A64">
        <v>63</v>
      </c>
      <c r="B64">
        <v>22</v>
      </c>
      <c r="C64">
        <v>78</v>
      </c>
      <c r="D64">
        <v>170</v>
      </c>
      <c r="E64" t="s">
        <v>5</v>
      </c>
      <c r="F64" s="4">
        <v>755</v>
      </c>
      <c r="G64">
        <f>564-100</f>
        <v>464</v>
      </c>
      <c r="H64" t="s">
        <v>8</v>
      </c>
      <c r="I64">
        <f>(F64-G64)/F64</f>
        <v>0.38543046357615895</v>
      </c>
      <c r="J64" s="6" t="s">
        <v>13</v>
      </c>
    </row>
    <row r="65" spans="1:10" x14ac:dyDescent="0.35">
      <c r="A65">
        <v>64</v>
      </c>
      <c r="B65">
        <v>22</v>
      </c>
      <c r="C65">
        <v>78</v>
      </c>
      <c r="D65">
        <v>170</v>
      </c>
      <c r="E65" t="s">
        <v>5</v>
      </c>
      <c r="F65" s="3">
        <v>414</v>
      </c>
      <c r="G65">
        <f>558-150</f>
        <v>408</v>
      </c>
      <c r="I65">
        <f>(F65-G65)/F65</f>
        <v>1.4492753623188406E-2</v>
      </c>
      <c r="J65" s="6" t="s">
        <v>13</v>
      </c>
    </row>
    <row r="66" spans="1:10" x14ac:dyDescent="0.35">
      <c r="A66">
        <v>65</v>
      </c>
      <c r="B66">
        <v>22</v>
      </c>
      <c r="C66">
        <v>78</v>
      </c>
      <c r="D66">
        <v>170</v>
      </c>
      <c r="E66" t="s">
        <v>5</v>
      </c>
      <c r="F66" s="3">
        <v>448</v>
      </c>
      <c r="G66">
        <f>765-326</f>
        <v>439</v>
      </c>
      <c r="I66">
        <f>(F66-G66)/F66</f>
        <v>2.0089285714285716E-2</v>
      </c>
      <c r="J66" s="6" t="s">
        <v>13</v>
      </c>
    </row>
    <row r="67" spans="1:10" x14ac:dyDescent="0.35">
      <c r="A67">
        <v>66</v>
      </c>
      <c r="B67">
        <v>22</v>
      </c>
      <c r="C67">
        <v>78</v>
      </c>
      <c r="D67">
        <v>170</v>
      </c>
      <c r="E67" t="s">
        <v>5</v>
      </c>
      <c r="F67" s="3">
        <v>464</v>
      </c>
      <c r="G67">
        <f>850-413</f>
        <v>437</v>
      </c>
      <c r="I67">
        <f>(F67-G67)/F67</f>
        <v>5.8189655172413791E-2</v>
      </c>
      <c r="J67" s="6" t="s">
        <v>13</v>
      </c>
    </row>
    <row r="68" spans="1:10" x14ac:dyDescent="0.35">
      <c r="A68">
        <v>67</v>
      </c>
      <c r="B68">
        <v>22</v>
      </c>
      <c r="C68">
        <v>78</v>
      </c>
      <c r="D68">
        <v>170</v>
      </c>
      <c r="E68" t="s">
        <v>5</v>
      </c>
      <c r="F68" s="3">
        <v>332</v>
      </c>
      <c r="G68">
        <f>591-215</f>
        <v>376</v>
      </c>
      <c r="I68">
        <f>(F68-G68)/F68</f>
        <v>-0.13253012048192772</v>
      </c>
      <c r="J68" s="6" t="s">
        <v>13</v>
      </c>
    </row>
    <row r="69" spans="1:10" x14ac:dyDescent="0.35">
      <c r="A69">
        <v>68</v>
      </c>
      <c r="B69">
        <v>22</v>
      </c>
      <c r="C69">
        <v>78</v>
      </c>
      <c r="D69">
        <v>170</v>
      </c>
      <c r="E69" t="s">
        <v>5</v>
      </c>
      <c r="F69" s="3">
        <v>446</v>
      </c>
      <c r="G69">
        <f>457-0</f>
        <v>457</v>
      </c>
      <c r="I69">
        <f>(F69-G69)/F69</f>
        <v>-2.4663677130044841E-2</v>
      </c>
      <c r="J69" s="6" t="s">
        <v>13</v>
      </c>
    </row>
    <row r="70" spans="1:10" x14ac:dyDescent="0.35">
      <c r="A70">
        <v>69</v>
      </c>
      <c r="B70">
        <v>22</v>
      </c>
      <c r="C70">
        <v>78</v>
      </c>
      <c r="D70">
        <v>170</v>
      </c>
      <c r="E70" t="s">
        <v>5</v>
      </c>
      <c r="F70" s="3">
        <v>429</v>
      </c>
      <c r="G70">
        <f>816-417</f>
        <v>399</v>
      </c>
      <c r="I70">
        <f>(F70-G70)/F70</f>
        <v>6.9930069930069935E-2</v>
      </c>
      <c r="J70" s="6" t="s">
        <v>13</v>
      </c>
    </row>
    <row r="71" spans="1:10" x14ac:dyDescent="0.35">
      <c r="A71">
        <v>70</v>
      </c>
      <c r="B71">
        <v>22</v>
      </c>
      <c r="C71">
        <v>78</v>
      </c>
      <c r="D71">
        <v>170</v>
      </c>
      <c r="E71" t="s">
        <v>5</v>
      </c>
      <c r="F71" s="3">
        <v>430</v>
      </c>
      <c r="G71">
        <f>367-0</f>
        <v>367</v>
      </c>
      <c r="I71">
        <f>(F71-G71)/F71</f>
        <v>0.14651162790697675</v>
      </c>
      <c r="J71" s="6" t="s">
        <v>13</v>
      </c>
    </row>
    <row r="72" spans="1:10" x14ac:dyDescent="0.35">
      <c r="A72">
        <v>71</v>
      </c>
      <c r="B72">
        <v>22</v>
      </c>
      <c r="C72">
        <v>78</v>
      </c>
      <c r="D72">
        <v>170</v>
      </c>
      <c r="E72" t="s">
        <v>5</v>
      </c>
      <c r="F72" s="3">
        <v>430</v>
      </c>
      <c r="G72">
        <f>442-46</f>
        <v>396</v>
      </c>
      <c r="I72">
        <f>(F72-G72)/F72</f>
        <v>7.9069767441860464E-2</v>
      </c>
      <c r="J72" s="6" t="s">
        <v>13</v>
      </c>
    </row>
    <row r="73" spans="1:10" x14ac:dyDescent="0.35">
      <c r="A73">
        <v>72</v>
      </c>
      <c r="B73">
        <v>22</v>
      </c>
      <c r="C73">
        <v>78</v>
      </c>
      <c r="D73">
        <v>170</v>
      </c>
      <c r="E73" t="s">
        <v>5</v>
      </c>
      <c r="F73" s="3">
        <v>430</v>
      </c>
      <c r="G73">
        <f>314-0</f>
        <v>314</v>
      </c>
      <c r="I73">
        <f>(F73-G73)/F73</f>
        <v>0.26976744186046514</v>
      </c>
      <c r="J73" s="6" t="s">
        <v>13</v>
      </c>
    </row>
    <row r="74" spans="1:10" x14ac:dyDescent="0.35">
      <c r="A74">
        <v>73</v>
      </c>
      <c r="B74">
        <v>22</v>
      </c>
      <c r="C74">
        <v>78</v>
      </c>
      <c r="D74">
        <v>170</v>
      </c>
      <c r="E74" t="s">
        <v>5</v>
      </c>
      <c r="F74" s="3">
        <v>430</v>
      </c>
      <c r="G74">
        <f>393-0</f>
        <v>393</v>
      </c>
      <c r="I74">
        <f>(F74-G74)/F74</f>
        <v>8.6046511627906982E-2</v>
      </c>
      <c r="J74" s="6" t="s">
        <v>13</v>
      </c>
    </row>
    <row r="75" spans="1:10" x14ac:dyDescent="0.35">
      <c r="A75">
        <v>74</v>
      </c>
      <c r="B75">
        <v>22</v>
      </c>
      <c r="C75">
        <v>78</v>
      </c>
      <c r="D75">
        <v>170</v>
      </c>
      <c r="E75" t="s">
        <v>5</v>
      </c>
      <c r="F75" s="3">
        <v>431</v>
      </c>
      <c r="G75">
        <f>420-52</f>
        <v>368</v>
      </c>
      <c r="I75">
        <f>(F75-G75)/F75</f>
        <v>0.14617169373549885</v>
      </c>
      <c r="J75" s="6" t="s">
        <v>13</v>
      </c>
    </row>
    <row r="76" spans="1:10" x14ac:dyDescent="0.35">
      <c r="A76">
        <v>75</v>
      </c>
      <c r="B76">
        <v>22</v>
      </c>
      <c r="C76">
        <v>78</v>
      </c>
      <c r="D76">
        <v>170</v>
      </c>
      <c r="E76" t="s">
        <v>5</v>
      </c>
      <c r="F76" s="3">
        <v>413</v>
      </c>
      <c r="G76">
        <f>764-409</f>
        <v>355</v>
      </c>
      <c r="I76">
        <f>(F76-G76)/F76</f>
        <v>0.14043583535108958</v>
      </c>
      <c r="J76" s="6" t="s">
        <v>13</v>
      </c>
    </row>
    <row r="77" spans="1:10" x14ac:dyDescent="0.35">
      <c r="A77">
        <v>76</v>
      </c>
      <c r="B77">
        <v>22</v>
      </c>
      <c r="C77">
        <v>78</v>
      </c>
      <c r="D77">
        <v>170</v>
      </c>
      <c r="E77" t="s">
        <v>5</v>
      </c>
      <c r="F77" s="3">
        <v>430</v>
      </c>
      <c r="G77">
        <f>1222-822</f>
        <v>400</v>
      </c>
      <c r="I77">
        <f>(F77-G77)/F77</f>
        <v>6.9767441860465115E-2</v>
      </c>
      <c r="J77" s="6" t="s">
        <v>13</v>
      </c>
    </row>
    <row r="78" spans="1:10" x14ac:dyDescent="0.35">
      <c r="A78">
        <v>77</v>
      </c>
      <c r="B78">
        <v>22</v>
      </c>
      <c r="C78">
        <v>78</v>
      </c>
      <c r="D78">
        <v>170</v>
      </c>
      <c r="E78" t="s">
        <v>5</v>
      </c>
      <c r="F78" s="4">
        <v>875</v>
      </c>
      <c r="G78">
        <f>322-0</f>
        <v>322</v>
      </c>
      <c r="H78" t="s">
        <v>8</v>
      </c>
      <c r="I78">
        <f>(F78-G78)/F78</f>
        <v>0.63200000000000001</v>
      </c>
      <c r="J78" s="7" t="s">
        <v>13</v>
      </c>
    </row>
    <row r="79" spans="1:10" x14ac:dyDescent="0.35">
      <c r="A79">
        <v>78</v>
      </c>
      <c r="B79">
        <v>22</v>
      </c>
      <c r="C79">
        <v>78</v>
      </c>
      <c r="D79">
        <v>170</v>
      </c>
      <c r="E79" t="s">
        <v>5</v>
      </c>
      <c r="F79" s="3">
        <v>429</v>
      </c>
      <c r="G79">
        <f>977-597</f>
        <v>380</v>
      </c>
      <c r="I79">
        <f>(F79-G79)/F79</f>
        <v>0.11421911421911422</v>
      </c>
      <c r="J79" s="6" t="s">
        <v>13</v>
      </c>
    </row>
    <row r="80" spans="1:10" x14ac:dyDescent="0.35">
      <c r="A80">
        <v>79</v>
      </c>
      <c r="B80">
        <v>22</v>
      </c>
      <c r="C80">
        <v>78</v>
      </c>
      <c r="D80">
        <v>170</v>
      </c>
      <c r="E80" t="s">
        <v>5</v>
      </c>
      <c r="F80" s="3">
        <v>447</v>
      </c>
      <c r="G80">
        <f>1720-1325</f>
        <v>395</v>
      </c>
      <c r="I80">
        <f>(F80-G80)/F80</f>
        <v>0.116331096196868</v>
      </c>
      <c r="J80" s="6" t="s">
        <v>13</v>
      </c>
    </row>
    <row r="81" spans="1:10" x14ac:dyDescent="0.35">
      <c r="A81">
        <v>80</v>
      </c>
      <c r="B81">
        <v>22</v>
      </c>
      <c r="C81">
        <v>78</v>
      </c>
      <c r="D81">
        <v>170</v>
      </c>
      <c r="E81" t="s">
        <v>5</v>
      </c>
      <c r="F81" s="3">
        <v>398</v>
      </c>
      <c r="G81">
        <f>1408-992</f>
        <v>416</v>
      </c>
      <c r="I81">
        <f>(F81-G81)/F81</f>
        <v>-4.5226130653266333E-2</v>
      </c>
      <c r="J81" s="6" t="s">
        <v>13</v>
      </c>
    </row>
    <row r="82" spans="1:10" x14ac:dyDescent="0.35">
      <c r="A82">
        <v>81</v>
      </c>
      <c r="B82">
        <v>22</v>
      </c>
      <c r="C82">
        <v>78</v>
      </c>
      <c r="D82">
        <v>170</v>
      </c>
      <c r="E82" t="s">
        <v>5</v>
      </c>
      <c r="F82" s="3">
        <v>380</v>
      </c>
      <c r="G82">
        <f>690-338</f>
        <v>352</v>
      </c>
      <c r="I82">
        <f>(F82-G82)/F82</f>
        <v>7.3684210526315783E-2</v>
      </c>
      <c r="J82" s="6" t="s">
        <v>13</v>
      </c>
    </row>
    <row r="83" spans="1:10" x14ac:dyDescent="0.35">
      <c r="A83">
        <v>82</v>
      </c>
      <c r="B83">
        <v>22</v>
      </c>
      <c r="C83">
        <v>78</v>
      </c>
      <c r="D83">
        <v>170</v>
      </c>
      <c r="E83" t="s">
        <v>5</v>
      </c>
      <c r="F83" s="3">
        <v>415</v>
      </c>
      <c r="G83">
        <f>1528-1134</f>
        <v>394</v>
      </c>
      <c r="I83">
        <f>(F83-G83)/F83</f>
        <v>5.0602409638554217E-2</v>
      </c>
      <c r="J83" s="6" t="s">
        <v>13</v>
      </c>
    </row>
    <row r="84" spans="1:10" x14ac:dyDescent="0.35">
      <c r="A84">
        <v>83</v>
      </c>
      <c r="B84">
        <v>22</v>
      </c>
      <c r="C84">
        <v>78</v>
      </c>
      <c r="D84">
        <v>170</v>
      </c>
      <c r="E84" t="s">
        <v>5</v>
      </c>
      <c r="F84" s="3">
        <v>431</v>
      </c>
      <c r="G84">
        <f>1793-1363</f>
        <v>430</v>
      </c>
      <c r="I84">
        <f>(F84-G84)/F84</f>
        <v>2.3201856148491878E-3</v>
      </c>
      <c r="J84" s="6" t="s">
        <v>13</v>
      </c>
    </row>
    <row r="85" spans="1:10" x14ac:dyDescent="0.35">
      <c r="A85">
        <v>84</v>
      </c>
      <c r="B85">
        <v>22</v>
      </c>
      <c r="C85">
        <v>78</v>
      </c>
      <c r="D85">
        <v>170</v>
      </c>
      <c r="E85" t="s">
        <v>5</v>
      </c>
      <c r="F85" s="3">
        <v>430</v>
      </c>
      <c r="G85">
        <f>1481-1058</f>
        <v>423</v>
      </c>
      <c r="I85">
        <f>(F85-G85)/F85</f>
        <v>1.627906976744186E-2</v>
      </c>
      <c r="J85" s="6" t="s">
        <v>13</v>
      </c>
    </row>
    <row r="86" spans="1:10" x14ac:dyDescent="0.35">
      <c r="A86">
        <v>85</v>
      </c>
      <c r="B86">
        <v>22</v>
      </c>
      <c r="C86">
        <v>78</v>
      </c>
      <c r="D86">
        <v>170</v>
      </c>
      <c r="E86" t="s">
        <v>5</v>
      </c>
      <c r="F86" s="3">
        <v>430</v>
      </c>
      <c r="G86">
        <f>1371-951</f>
        <v>420</v>
      </c>
      <c r="I86">
        <f>(F86-G86)/F86</f>
        <v>2.3255813953488372E-2</v>
      </c>
      <c r="J86" s="6" t="s">
        <v>13</v>
      </c>
    </row>
    <row r="87" spans="1:10" x14ac:dyDescent="0.35">
      <c r="A87">
        <v>86</v>
      </c>
      <c r="B87">
        <v>22</v>
      </c>
      <c r="C87">
        <v>78</v>
      </c>
      <c r="D87">
        <v>170</v>
      </c>
      <c r="E87" t="s">
        <v>5</v>
      </c>
      <c r="F87" s="3">
        <v>430</v>
      </c>
      <c r="G87">
        <f>1106-680</f>
        <v>426</v>
      </c>
      <c r="I87">
        <f>(F87-G87)/F87</f>
        <v>9.3023255813953487E-3</v>
      </c>
      <c r="J87" s="6" t="s">
        <v>13</v>
      </c>
    </row>
    <row r="88" spans="1:10" x14ac:dyDescent="0.35">
      <c r="A88">
        <v>87</v>
      </c>
      <c r="B88">
        <v>22</v>
      </c>
      <c r="C88">
        <v>78</v>
      </c>
      <c r="D88">
        <v>170</v>
      </c>
      <c r="E88" t="s">
        <v>5</v>
      </c>
      <c r="F88" s="3">
        <v>447</v>
      </c>
      <c r="G88">
        <f>522-142</f>
        <v>380</v>
      </c>
      <c r="I88">
        <f>(F88-G88)/F88</f>
        <v>0.14988814317673377</v>
      </c>
      <c r="J88" s="6" t="s">
        <v>13</v>
      </c>
    </row>
    <row r="89" spans="1:10" x14ac:dyDescent="0.35">
      <c r="A89">
        <v>88</v>
      </c>
      <c r="B89">
        <v>22</v>
      </c>
      <c r="C89">
        <v>78</v>
      </c>
      <c r="D89">
        <v>170</v>
      </c>
      <c r="E89" t="s">
        <v>5</v>
      </c>
      <c r="F89" s="3">
        <v>430</v>
      </c>
      <c r="G89">
        <f>2131-1685</f>
        <v>446</v>
      </c>
      <c r="I89">
        <f>(F89-G89)/F89</f>
        <v>-3.7209302325581395E-2</v>
      </c>
      <c r="J89" s="6" t="s">
        <v>13</v>
      </c>
    </row>
    <row r="90" spans="1:10" x14ac:dyDescent="0.35">
      <c r="A90">
        <v>89</v>
      </c>
      <c r="B90">
        <v>22</v>
      </c>
      <c r="C90">
        <v>78</v>
      </c>
      <c r="D90">
        <v>170</v>
      </c>
      <c r="E90" t="s">
        <v>5</v>
      </c>
      <c r="F90" s="3">
        <v>462</v>
      </c>
      <c r="G90">
        <f>460-36</f>
        <v>424</v>
      </c>
      <c r="I90">
        <f>(F90-G90)/F90</f>
        <v>8.2251082251082255E-2</v>
      </c>
      <c r="J90" s="6" t="s">
        <v>13</v>
      </c>
    </row>
    <row r="91" spans="1:10" x14ac:dyDescent="0.35">
      <c r="A91">
        <v>90</v>
      </c>
      <c r="B91">
        <v>22</v>
      </c>
      <c r="C91">
        <v>78</v>
      </c>
      <c r="D91">
        <v>170</v>
      </c>
      <c r="E91" t="s">
        <v>5</v>
      </c>
      <c r="F91" s="3">
        <v>430</v>
      </c>
      <c r="G91">
        <f>902-454</f>
        <v>448</v>
      </c>
      <c r="I91">
        <f>(F91-G91)/F91</f>
        <v>-4.1860465116279069E-2</v>
      </c>
      <c r="J91" s="6" t="s">
        <v>13</v>
      </c>
    </row>
    <row r="92" spans="1:10" x14ac:dyDescent="0.35">
      <c r="A92">
        <v>91</v>
      </c>
      <c r="B92">
        <v>22</v>
      </c>
      <c r="C92">
        <v>78</v>
      </c>
      <c r="D92">
        <v>170</v>
      </c>
      <c r="E92" t="s">
        <v>5</v>
      </c>
      <c r="F92" s="3">
        <v>413</v>
      </c>
      <c r="G92">
        <f>798-406</f>
        <v>392</v>
      </c>
      <c r="I92">
        <f>(F92-G92)/F92</f>
        <v>5.0847457627118647E-2</v>
      </c>
      <c r="J92" s="6" t="s">
        <v>13</v>
      </c>
    </row>
    <row r="93" spans="1:10" x14ac:dyDescent="0.35">
      <c r="A93">
        <v>92</v>
      </c>
      <c r="B93">
        <v>22</v>
      </c>
      <c r="C93">
        <v>78</v>
      </c>
      <c r="D93">
        <v>170</v>
      </c>
      <c r="E93" t="s">
        <v>5</v>
      </c>
      <c r="F93" s="3">
        <v>445</v>
      </c>
      <c r="G93">
        <f>658-270</f>
        <v>388</v>
      </c>
      <c r="I93">
        <f>(F93-G93)/F93</f>
        <v>0.12808988764044943</v>
      </c>
      <c r="J93" s="6" t="s">
        <v>13</v>
      </c>
    </row>
    <row r="94" spans="1:10" x14ac:dyDescent="0.35">
      <c r="A94">
        <v>93</v>
      </c>
      <c r="B94">
        <v>22</v>
      </c>
      <c r="C94">
        <v>78</v>
      </c>
      <c r="D94">
        <v>170</v>
      </c>
      <c r="E94" t="s">
        <v>5</v>
      </c>
      <c r="F94" s="3">
        <v>446</v>
      </c>
      <c r="G94">
        <f>1202-771</f>
        <v>431</v>
      </c>
      <c r="I94">
        <f>(F94-G94)/F94</f>
        <v>3.3632286995515695E-2</v>
      </c>
      <c r="J94" s="6" t="s">
        <v>13</v>
      </c>
    </row>
    <row r="95" spans="1:10" x14ac:dyDescent="0.35">
      <c r="A95">
        <v>94</v>
      </c>
      <c r="B95">
        <v>22</v>
      </c>
      <c r="C95">
        <v>78</v>
      </c>
      <c r="D95">
        <v>170</v>
      </c>
      <c r="E95" t="s">
        <v>5</v>
      </c>
      <c r="F95" s="3">
        <v>413</v>
      </c>
      <c r="G95">
        <f>642-211</f>
        <v>431</v>
      </c>
      <c r="I95">
        <f>(F95-G95)/F95</f>
        <v>-4.3583535108958835E-2</v>
      </c>
      <c r="J95" s="6" t="s">
        <v>13</v>
      </c>
    </row>
    <row r="96" spans="1:10" x14ac:dyDescent="0.35">
      <c r="A96">
        <v>95</v>
      </c>
      <c r="B96">
        <v>22</v>
      </c>
      <c r="C96">
        <v>78</v>
      </c>
      <c r="D96">
        <v>170</v>
      </c>
      <c r="E96" t="s">
        <v>5</v>
      </c>
      <c r="F96" s="3">
        <v>430</v>
      </c>
      <c r="G96">
        <f>603-168</f>
        <v>435</v>
      </c>
      <c r="I96">
        <f>(F96-G96)/F96</f>
        <v>-1.1627906976744186E-2</v>
      </c>
      <c r="J96" s="6" t="s">
        <v>13</v>
      </c>
    </row>
    <row r="97" spans="1:10" x14ac:dyDescent="0.35">
      <c r="A97">
        <v>96</v>
      </c>
      <c r="B97">
        <v>22</v>
      </c>
      <c r="C97">
        <v>78</v>
      </c>
      <c r="D97">
        <v>170</v>
      </c>
      <c r="E97" t="s">
        <v>5</v>
      </c>
      <c r="F97" s="3">
        <v>429</v>
      </c>
      <c r="G97">
        <f>2133-1694</f>
        <v>439</v>
      </c>
      <c r="I97">
        <f>(F97-G97)/F97</f>
        <v>-2.3310023310023312E-2</v>
      </c>
      <c r="J97" s="6" t="s">
        <v>13</v>
      </c>
    </row>
    <row r="98" spans="1:10" x14ac:dyDescent="0.35">
      <c r="A98">
        <v>97</v>
      </c>
      <c r="B98">
        <v>22</v>
      </c>
      <c r="C98">
        <v>78</v>
      </c>
      <c r="D98">
        <v>170</v>
      </c>
      <c r="E98" t="s">
        <v>5</v>
      </c>
      <c r="F98" s="3">
        <v>430</v>
      </c>
      <c r="G98">
        <f>540-135</f>
        <v>405</v>
      </c>
      <c r="I98">
        <f>(F98-G98)/F98</f>
        <v>5.8139534883720929E-2</v>
      </c>
      <c r="J98" s="6" t="s">
        <v>13</v>
      </c>
    </row>
    <row r="99" spans="1:10" x14ac:dyDescent="0.35">
      <c r="A99">
        <v>98</v>
      </c>
      <c r="B99">
        <v>22</v>
      </c>
      <c r="C99">
        <v>78</v>
      </c>
      <c r="D99">
        <v>170</v>
      </c>
      <c r="E99" t="s">
        <v>5</v>
      </c>
      <c r="F99" s="3">
        <v>448</v>
      </c>
      <c r="G99">
        <f>423-0</f>
        <v>423</v>
      </c>
      <c r="I99">
        <f>(F99-G99)/F99</f>
        <v>5.5803571428571432E-2</v>
      </c>
      <c r="J99" s="6" t="s">
        <v>13</v>
      </c>
    </row>
    <row r="100" spans="1:10" x14ac:dyDescent="0.35">
      <c r="A100">
        <v>99</v>
      </c>
      <c r="B100">
        <v>22</v>
      </c>
      <c r="C100">
        <v>78</v>
      </c>
      <c r="D100">
        <v>170</v>
      </c>
      <c r="E100" t="s">
        <v>5</v>
      </c>
      <c r="F100" s="3">
        <v>445</v>
      </c>
      <c r="G100">
        <f>969-509</f>
        <v>460</v>
      </c>
      <c r="I100">
        <f>(F100-G100)/F100</f>
        <v>-3.3707865168539325E-2</v>
      </c>
      <c r="J100" s="6" t="s">
        <v>13</v>
      </c>
    </row>
    <row r="101" spans="1:10" x14ac:dyDescent="0.35">
      <c r="A101">
        <v>100</v>
      </c>
      <c r="B101">
        <v>22</v>
      </c>
      <c r="C101">
        <v>78</v>
      </c>
      <c r="D101">
        <v>170</v>
      </c>
      <c r="E101" t="s">
        <v>5</v>
      </c>
      <c r="F101" s="4">
        <v>811</v>
      </c>
      <c r="G101">
        <f>695-287</f>
        <v>408</v>
      </c>
      <c r="H101" t="s">
        <v>8</v>
      </c>
      <c r="I101">
        <f>(F101-G101)/F101</f>
        <v>0.49691738594327989</v>
      </c>
      <c r="J101" s="6" t="s">
        <v>13</v>
      </c>
    </row>
    <row r="102" spans="1:10" x14ac:dyDescent="0.35">
      <c r="A102">
        <v>101</v>
      </c>
      <c r="B102">
        <v>22</v>
      </c>
      <c r="C102">
        <v>78</v>
      </c>
      <c r="D102">
        <v>170</v>
      </c>
      <c r="E102" t="s">
        <v>5</v>
      </c>
      <c r="F102" s="3">
        <v>430</v>
      </c>
      <c r="G102">
        <f>701-264</f>
        <v>437</v>
      </c>
      <c r="I102">
        <f>(F102-G102)/F102</f>
        <v>-1.627906976744186E-2</v>
      </c>
      <c r="J102" s="6" t="s">
        <v>13</v>
      </c>
    </row>
    <row r="103" spans="1:10" x14ac:dyDescent="0.35">
      <c r="A103">
        <v>102</v>
      </c>
      <c r="B103">
        <v>22</v>
      </c>
      <c r="C103">
        <v>78</v>
      </c>
      <c r="D103">
        <v>170</v>
      </c>
      <c r="E103" t="s">
        <v>5</v>
      </c>
      <c r="F103" s="3">
        <v>429</v>
      </c>
      <c r="G103">
        <f>398-0</f>
        <v>398</v>
      </c>
      <c r="I103">
        <f>(F103-G103)/F103</f>
        <v>7.2261072261072257E-2</v>
      </c>
      <c r="J103" s="6" t="s">
        <v>13</v>
      </c>
    </row>
    <row r="104" spans="1:10" x14ac:dyDescent="0.35">
      <c r="A104">
        <v>103</v>
      </c>
      <c r="B104">
        <v>22</v>
      </c>
      <c r="C104">
        <v>78</v>
      </c>
      <c r="D104">
        <v>170</v>
      </c>
      <c r="E104" t="s">
        <v>5</v>
      </c>
      <c r="F104" s="3">
        <v>398</v>
      </c>
      <c r="G104">
        <f>891-496</f>
        <v>395</v>
      </c>
      <c r="I104">
        <f>(F104-G104)/F104</f>
        <v>7.537688442211055E-3</v>
      </c>
      <c r="J104" s="6" t="s">
        <v>13</v>
      </c>
    </row>
    <row r="105" spans="1:10" x14ac:dyDescent="0.35">
      <c r="A105">
        <v>104</v>
      </c>
      <c r="B105">
        <v>22</v>
      </c>
      <c r="C105">
        <v>78</v>
      </c>
      <c r="D105">
        <v>170</v>
      </c>
      <c r="E105" t="s">
        <v>5</v>
      </c>
      <c r="F105" s="3">
        <v>423</v>
      </c>
      <c r="G105">
        <f>1454-1071</f>
        <v>383</v>
      </c>
      <c r="I105">
        <f>(F105-G105)/F105</f>
        <v>9.4562647754137114E-2</v>
      </c>
      <c r="J105" s="6" t="s">
        <v>13</v>
      </c>
    </row>
    <row r="106" spans="1:10" x14ac:dyDescent="0.35">
      <c r="A106">
        <v>105</v>
      </c>
      <c r="B106">
        <v>22</v>
      </c>
      <c r="C106">
        <v>78</v>
      </c>
      <c r="D106">
        <v>170</v>
      </c>
      <c r="E106" t="s">
        <v>5</v>
      </c>
      <c r="F106" s="3">
        <v>430</v>
      </c>
      <c r="G106">
        <f>552-122</f>
        <v>430</v>
      </c>
      <c r="I106">
        <f>(F106-G106)/F106</f>
        <v>0</v>
      </c>
      <c r="J106" s="6" t="s">
        <v>13</v>
      </c>
    </row>
    <row r="107" spans="1:10" x14ac:dyDescent="0.35">
      <c r="A107">
        <v>106</v>
      </c>
      <c r="B107">
        <v>22</v>
      </c>
      <c r="C107">
        <v>78</v>
      </c>
      <c r="D107">
        <v>170</v>
      </c>
      <c r="E107" t="s">
        <v>5</v>
      </c>
      <c r="F107" s="3">
        <v>449</v>
      </c>
      <c r="G107">
        <f>1195-772</f>
        <v>423</v>
      </c>
      <c r="I107">
        <f>(F107-G107)/F107</f>
        <v>5.7906458797327393E-2</v>
      </c>
      <c r="J107" s="6" t="s">
        <v>13</v>
      </c>
    </row>
    <row r="108" spans="1:10" x14ac:dyDescent="0.35">
      <c r="A108">
        <v>107</v>
      </c>
      <c r="B108">
        <v>22</v>
      </c>
      <c r="C108">
        <v>78</v>
      </c>
      <c r="D108">
        <v>170</v>
      </c>
      <c r="E108" t="s">
        <v>5</v>
      </c>
      <c r="F108" s="3">
        <v>382</v>
      </c>
      <c r="G108">
        <f>977-598</f>
        <v>379</v>
      </c>
      <c r="I108">
        <f>(F108-G108)/F108</f>
        <v>7.8534031413612562E-3</v>
      </c>
      <c r="J108" s="6" t="s">
        <v>13</v>
      </c>
    </row>
    <row r="109" spans="1:10" x14ac:dyDescent="0.35">
      <c r="A109">
        <v>108</v>
      </c>
      <c r="B109">
        <v>22</v>
      </c>
      <c r="C109">
        <v>78</v>
      </c>
      <c r="D109">
        <v>170</v>
      </c>
      <c r="E109" t="s">
        <v>5</v>
      </c>
      <c r="F109" s="3">
        <v>415</v>
      </c>
      <c r="G109">
        <f>567-152</f>
        <v>415</v>
      </c>
      <c r="I109">
        <f>(F109-G109)/F109</f>
        <v>0</v>
      </c>
      <c r="J109" s="6" t="s">
        <v>13</v>
      </c>
    </row>
    <row r="110" spans="1:10" x14ac:dyDescent="0.35">
      <c r="A110">
        <v>109</v>
      </c>
      <c r="B110">
        <v>22</v>
      </c>
      <c r="C110">
        <v>78</v>
      </c>
      <c r="D110">
        <v>170</v>
      </c>
      <c r="E110" t="s">
        <v>5</v>
      </c>
      <c r="F110" s="3">
        <v>415</v>
      </c>
      <c r="G110">
        <f>1216-802</f>
        <v>414</v>
      </c>
      <c r="I110">
        <f>(F110-G110)/F110</f>
        <v>2.4096385542168677E-3</v>
      </c>
      <c r="J110" s="6" t="s">
        <v>13</v>
      </c>
    </row>
    <row r="111" spans="1:10" x14ac:dyDescent="0.35">
      <c r="A111">
        <v>110</v>
      </c>
      <c r="B111">
        <v>22</v>
      </c>
      <c r="C111">
        <v>78</v>
      </c>
      <c r="D111">
        <v>170</v>
      </c>
      <c r="E111" t="s">
        <v>5</v>
      </c>
      <c r="F111" s="3">
        <v>415</v>
      </c>
      <c r="G111">
        <f>381-0</f>
        <v>381</v>
      </c>
      <c r="I111">
        <f>(F111-G111)/F111</f>
        <v>8.1927710843373497E-2</v>
      </c>
      <c r="J111" s="6" t="s">
        <v>13</v>
      </c>
    </row>
    <row r="112" spans="1:10" x14ac:dyDescent="0.35">
      <c r="A112">
        <v>111</v>
      </c>
      <c r="B112">
        <v>22</v>
      </c>
      <c r="C112">
        <v>78</v>
      </c>
      <c r="D112">
        <v>170</v>
      </c>
      <c r="E112" t="s">
        <v>5</v>
      </c>
      <c r="F112" s="3">
        <v>432</v>
      </c>
      <c r="G112">
        <f>735-314</f>
        <v>421</v>
      </c>
      <c r="I112">
        <f>(F112-G112)/F112</f>
        <v>2.5462962962962962E-2</v>
      </c>
      <c r="J112" s="6" t="s">
        <v>13</v>
      </c>
    </row>
    <row r="113" spans="1:10" x14ac:dyDescent="0.35">
      <c r="A113">
        <v>112</v>
      </c>
      <c r="B113">
        <v>22</v>
      </c>
      <c r="C113">
        <v>78</v>
      </c>
      <c r="D113">
        <v>170</v>
      </c>
      <c r="E113" t="s">
        <v>5</v>
      </c>
      <c r="F113" s="3">
        <v>416</v>
      </c>
      <c r="G113">
        <f>1034-625</f>
        <v>409</v>
      </c>
      <c r="I113">
        <f>(F113-G113)/F113</f>
        <v>1.6826923076923076E-2</v>
      </c>
      <c r="J113" s="6" t="s">
        <v>13</v>
      </c>
    </row>
    <row r="114" spans="1:10" x14ac:dyDescent="0.35">
      <c r="A114">
        <v>113</v>
      </c>
      <c r="B114">
        <v>22</v>
      </c>
      <c r="C114">
        <v>78</v>
      </c>
      <c r="D114">
        <v>170</v>
      </c>
      <c r="E114" t="s">
        <v>5</v>
      </c>
      <c r="F114" s="3">
        <v>432</v>
      </c>
      <c r="G114">
        <f>530-113</f>
        <v>417</v>
      </c>
      <c r="I114">
        <f>(F114-G114)/F114</f>
        <v>3.4722222222222224E-2</v>
      </c>
      <c r="J114" s="6" t="s">
        <v>13</v>
      </c>
    </row>
    <row r="115" spans="1:10" x14ac:dyDescent="0.35">
      <c r="A115">
        <v>114</v>
      </c>
      <c r="B115">
        <v>22</v>
      </c>
      <c r="C115">
        <v>78</v>
      </c>
      <c r="D115">
        <v>170</v>
      </c>
      <c r="E115" t="s">
        <v>5</v>
      </c>
      <c r="F115" s="3">
        <v>431</v>
      </c>
      <c r="G115">
        <f>1138-713</f>
        <v>425</v>
      </c>
      <c r="I115">
        <f>(F115-G115)/F115</f>
        <v>1.3921113689095127E-2</v>
      </c>
      <c r="J115" s="6" t="s">
        <v>13</v>
      </c>
    </row>
    <row r="116" spans="1:10" x14ac:dyDescent="0.35">
      <c r="A116">
        <v>115</v>
      </c>
      <c r="B116">
        <v>22</v>
      </c>
      <c r="C116">
        <v>78</v>
      </c>
      <c r="D116">
        <v>170</v>
      </c>
      <c r="E116" t="s">
        <v>5</v>
      </c>
      <c r="F116" s="3">
        <v>414</v>
      </c>
      <c r="G116">
        <f>386-0</f>
        <v>386</v>
      </c>
      <c r="I116">
        <f>(F116-G116)/F116</f>
        <v>6.7632850241545889E-2</v>
      </c>
      <c r="J116" s="6" t="s">
        <v>13</v>
      </c>
    </row>
    <row r="117" spans="1:10" x14ac:dyDescent="0.35">
      <c r="A117">
        <v>116</v>
      </c>
      <c r="B117">
        <v>22</v>
      </c>
      <c r="C117">
        <v>78</v>
      </c>
      <c r="D117">
        <v>170</v>
      </c>
      <c r="E117" t="s">
        <v>5</v>
      </c>
      <c r="F117" s="3">
        <v>429</v>
      </c>
      <c r="G117">
        <f>427-0</f>
        <v>427</v>
      </c>
      <c r="I117">
        <f>(F117-G117)/F117</f>
        <v>4.662004662004662E-3</v>
      </c>
      <c r="J117" s="6" t="s">
        <v>13</v>
      </c>
    </row>
    <row r="118" spans="1:10" x14ac:dyDescent="0.35">
      <c r="A118">
        <v>117</v>
      </c>
      <c r="B118">
        <v>22</v>
      </c>
      <c r="C118">
        <v>78</v>
      </c>
      <c r="D118">
        <v>170</v>
      </c>
      <c r="E118" t="s">
        <v>5</v>
      </c>
      <c r="F118" s="3">
        <v>431</v>
      </c>
      <c r="G118">
        <f>1321-893</f>
        <v>428</v>
      </c>
      <c r="I118">
        <f>(F118-G118)/F118</f>
        <v>6.9605568445475635E-3</v>
      </c>
      <c r="J118" s="6" t="s">
        <v>13</v>
      </c>
    </row>
    <row r="119" spans="1:10" x14ac:dyDescent="0.35">
      <c r="A119">
        <v>118</v>
      </c>
      <c r="B119">
        <v>22</v>
      </c>
      <c r="C119">
        <v>78</v>
      </c>
      <c r="D119">
        <v>170</v>
      </c>
      <c r="E119" t="s">
        <v>5</v>
      </c>
      <c r="F119" s="3">
        <v>446</v>
      </c>
      <c r="G119">
        <f>1674-1252</f>
        <v>422</v>
      </c>
      <c r="I119">
        <f>(F119-G119)/F119</f>
        <v>5.3811659192825115E-2</v>
      </c>
      <c r="J119" s="6" t="s">
        <v>13</v>
      </c>
    </row>
    <row r="120" spans="1:10" x14ac:dyDescent="0.35">
      <c r="A120">
        <v>119</v>
      </c>
      <c r="B120">
        <v>22</v>
      </c>
      <c r="C120">
        <v>78</v>
      </c>
      <c r="D120">
        <v>170</v>
      </c>
      <c r="E120" t="s">
        <v>5</v>
      </c>
      <c r="F120" s="3">
        <v>415</v>
      </c>
      <c r="G120">
        <f>1039-584</f>
        <v>455</v>
      </c>
      <c r="I120">
        <f>(F120-G120)/F120</f>
        <v>-9.6385542168674704E-2</v>
      </c>
      <c r="J120" s="6" t="s">
        <v>13</v>
      </c>
    </row>
    <row r="121" spans="1:10" x14ac:dyDescent="0.35">
      <c r="A121">
        <v>120</v>
      </c>
      <c r="B121">
        <v>22</v>
      </c>
      <c r="C121">
        <v>78</v>
      </c>
      <c r="D121">
        <v>170</v>
      </c>
      <c r="E121" t="s">
        <v>5</v>
      </c>
      <c r="F121" s="3">
        <v>431</v>
      </c>
      <c r="G121">
        <f>1240-826</f>
        <v>414</v>
      </c>
      <c r="I121">
        <f>(F121-G121)/F121</f>
        <v>3.9443155452436193E-2</v>
      </c>
      <c r="J121" s="6" t="s">
        <v>13</v>
      </c>
    </row>
    <row r="122" spans="1:10" x14ac:dyDescent="0.35">
      <c r="A122">
        <v>121</v>
      </c>
      <c r="B122">
        <v>22</v>
      </c>
      <c r="C122">
        <v>78</v>
      </c>
      <c r="D122">
        <v>170</v>
      </c>
      <c r="E122" t="s">
        <v>5</v>
      </c>
      <c r="F122" s="3">
        <v>696</v>
      </c>
      <c r="G122">
        <f>906-465</f>
        <v>441</v>
      </c>
      <c r="I122">
        <f>(F122-G122)/F122</f>
        <v>0.36637931034482757</v>
      </c>
      <c r="J122" s="6" t="s">
        <v>13</v>
      </c>
    </row>
    <row r="123" spans="1:10" x14ac:dyDescent="0.35">
      <c r="A123">
        <v>122</v>
      </c>
      <c r="B123">
        <v>23</v>
      </c>
      <c r="C123">
        <v>58</v>
      </c>
      <c r="D123">
        <v>152</v>
      </c>
      <c r="E123" t="s">
        <v>6</v>
      </c>
      <c r="F123" s="3">
        <v>381</v>
      </c>
      <c r="G123">
        <f>1944-1573</f>
        <v>371</v>
      </c>
      <c r="I123">
        <f>(F123-G123)/F123</f>
        <v>2.6246719160104987E-2</v>
      </c>
      <c r="J123" s="6" t="s">
        <v>14</v>
      </c>
    </row>
    <row r="124" spans="1:10" x14ac:dyDescent="0.35">
      <c r="A124">
        <v>123</v>
      </c>
      <c r="B124">
        <v>23</v>
      </c>
      <c r="C124">
        <v>58</v>
      </c>
      <c r="D124">
        <v>152</v>
      </c>
      <c r="E124" t="s">
        <v>6</v>
      </c>
      <c r="F124" s="3">
        <v>364</v>
      </c>
      <c r="G124">
        <f>454-88</f>
        <v>366</v>
      </c>
      <c r="I124">
        <f>(F124-G124)/F124</f>
        <v>-5.4945054945054949E-3</v>
      </c>
      <c r="J124" s="6" t="s">
        <v>14</v>
      </c>
    </row>
    <row r="125" spans="1:10" x14ac:dyDescent="0.35">
      <c r="A125">
        <v>124</v>
      </c>
      <c r="B125">
        <v>23</v>
      </c>
      <c r="C125">
        <v>58</v>
      </c>
      <c r="D125">
        <v>152</v>
      </c>
      <c r="E125" t="s">
        <v>6</v>
      </c>
      <c r="F125" s="3">
        <v>381</v>
      </c>
      <c r="G125">
        <f>2857-2561</f>
        <v>296</v>
      </c>
      <c r="I125">
        <f>(F125-G125)/F125</f>
        <v>0.2230971128608924</v>
      </c>
      <c r="J125" s="6" t="s">
        <v>14</v>
      </c>
    </row>
    <row r="126" spans="1:10" x14ac:dyDescent="0.35">
      <c r="A126">
        <v>125</v>
      </c>
      <c r="B126">
        <v>23</v>
      </c>
      <c r="C126">
        <v>58</v>
      </c>
      <c r="D126">
        <v>152</v>
      </c>
      <c r="E126" t="s">
        <v>6</v>
      </c>
      <c r="F126" s="3">
        <v>413</v>
      </c>
      <c r="G126">
        <f>2864-2487</f>
        <v>377</v>
      </c>
      <c r="I126">
        <f>(F126-G126)/F126</f>
        <v>8.7167070217917669E-2</v>
      </c>
      <c r="J126" s="6" t="s">
        <v>14</v>
      </c>
    </row>
    <row r="127" spans="1:10" x14ac:dyDescent="0.35">
      <c r="A127">
        <v>126</v>
      </c>
      <c r="B127">
        <v>22</v>
      </c>
      <c r="C127">
        <v>48</v>
      </c>
      <c r="D127">
        <v>153</v>
      </c>
      <c r="E127" t="s">
        <v>6</v>
      </c>
      <c r="F127" s="3">
        <v>381</v>
      </c>
      <c r="G127">
        <f>2522-2086</f>
        <v>436</v>
      </c>
      <c r="I127">
        <f>(F127-G127)/F127</f>
        <v>-0.14435695538057744</v>
      </c>
      <c r="J127" s="6" t="s">
        <v>15</v>
      </c>
    </row>
    <row r="128" spans="1:10" x14ac:dyDescent="0.35">
      <c r="A128">
        <v>127</v>
      </c>
      <c r="B128">
        <v>22</v>
      </c>
      <c r="C128">
        <v>48</v>
      </c>
      <c r="D128">
        <v>153</v>
      </c>
      <c r="E128" t="s">
        <v>6</v>
      </c>
      <c r="F128" s="3">
        <v>416</v>
      </c>
      <c r="G128">
        <f>2590-2170</f>
        <v>420</v>
      </c>
      <c r="I128">
        <f>(F128-G128)/F128</f>
        <v>-9.6153846153846159E-3</v>
      </c>
      <c r="J128" s="6" t="s">
        <v>15</v>
      </c>
    </row>
    <row r="129" spans="1:10" x14ac:dyDescent="0.35">
      <c r="A129">
        <v>128</v>
      </c>
      <c r="B129">
        <v>22</v>
      </c>
      <c r="C129">
        <v>48</v>
      </c>
      <c r="D129">
        <v>153</v>
      </c>
      <c r="E129" t="s">
        <v>6</v>
      </c>
      <c r="F129" s="3">
        <v>508</v>
      </c>
      <c r="G129">
        <f>2323-1924</f>
        <v>399</v>
      </c>
      <c r="I129">
        <f>(F129-G129)/F129</f>
        <v>0.21456692913385828</v>
      </c>
      <c r="J129" s="6" t="s">
        <v>15</v>
      </c>
    </row>
    <row r="130" spans="1:10" x14ac:dyDescent="0.35">
      <c r="A130">
        <v>129</v>
      </c>
      <c r="B130">
        <v>22</v>
      </c>
      <c r="C130">
        <v>48</v>
      </c>
      <c r="D130">
        <v>153</v>
      </c>
      <c r="E130" t="s">
        <v>6</v>
      </c>
      <c r="F130" s="4">
        <v>66</v>
      </c>
      <c r="G130">
        <f>2162-1805</f>
        <v>357</v>
      </c>
      <c r="H130" t="s">
        <v>8</v>
      </c>
      <c r="I130">
        <f>(F130-G130)/F130</f>
        <v>-4.4090909090909092</v>
      </c>
      <c r="J130" s="6" t="s">
        <v>15</v>
      </c>
    </row>
    <row r="131" spans="1:10" x14ac:dyDescent="0.35">
      <c r="A131">
        <v>130</v>
      </c>
      <c r="B131">
        <v>22</v>
      </c>
      <c r="C131">
        <v>48</v>
      </c>
      <c r="D131">
        <v>153</v>
      </c>
      <c r="E131" t="s">
        <v>6</v>
      </c>
      <c r="F131" s="3">
        <v>380</v>
      </c>
      <c r="G131">
        <f>2461-2061</f>
        <v>400</v>
      </c>
      <c r="I131">
        <f>(F131-G131)/F131</f>
        <v>-5.2631578947368418E-2</v>
      </c>
      <c r="J131" s="6" t="s">
        <v>15</v>
      </c>
    </row>
    <row r="132" spans="1:10" x14ac:dyDescent="0.35">
      <c r="A132">
        <v>131</v>
      </c>
      <c r="B132">
        <v>22</v>
      </c>
      <c r="C132">
        <v>48</v>
      </c>
      <c r="D132">
        <v>153</v>
      </c>
      <c r="E132" t="s">
        <v>6</v>
      </c>
      <c r="F132" s="3">
        <v>382</v>
      </c>
      <c r="G132">
        <f>2422-2006</f>
        <v>416</v>
      </c>
      <c r="I132">
        <f>(F132-G132)/F132</f>
        <v>-8.9005235602094238E-2</v>
      </c>
      <c r="J132" s="6" t="s">
        <v>15</v>
      </c>
    </row>
    <row r="133" spans="1:10" x14ac:dyDescent="0.35">
      <c r="A133">
        <v>132</v>
      </c>
      <c r="B133">
        <v>22</v>
      </c>
      <c r="C133">
        <v>48</v>
      </c>
      <c r="D133">
        <v>153</v>
      </c>
      <c r="E133" t="s">
        <v>6</v>
      </c>
      <c r="F133" s="3">
        <v>314</v>
      </c>
      <c r="G133">
        <f>2213-1805</f>
        <v>408</v>
      </c>
      <c r="I133">
        <f>(F133-G133)/F133</f>
        <v>-0.29936305732484075</v>
      </c>
      <c r="J133" s="6" t="s">
        <v>15</v>
      </c>
    </row>
    <row r="134" spans="1:10" x14ac:dyDescent="0.35">
      <c r="A134">
        <v>133</v>
      </c>
      <c r="B134">
        <v>22</v>
      </c>
      <c r="C134">
        <v>48</v>
      </c>
      <c r="D134">
        <v>153</v>
      </c>
      <c r="E134" t="s">
        <v>6</v>
      </c>
      <c r="F134" s="3">
        <v>546</v>
      </c>
      <c r="G134">
        <f>2078-1620</f>
        <v>458</v>
      </c>
      <c r="I134">
        <f>(F134-G134)/F134</f>
        <v>0.16117216117216118</v>
      </c>
      <c r="J134" s="6" t="s">
        <v>15</v>
      </c>
    </row>
    <row r="135" spans="1:10" x14ac:dyDescent="0.35">
      <c r="A135">
        <v>134</v>
      </c>
      <c r="B135">
        <v>22</v>
      </c>
      <c r="C135">
        <v>48</v>
      </c>
      <c r="D135">
        <v>153</v>
      </c>
      <c r="E135" t="s">
        <v>6</v>
      </c>
      <c r="F135" s="3">
        <v>346</v>
      </c>
      <c r="G135">
        <f>2444-2034</f>
        <v>410</v>
      </c>
      <c r="I135">
        <f>(F135-G135)/F135</f>
        <v>-0.18497109826589594</v>
      </c>
      <c r="J135" s="6" t="s">
        <v>15</v>
      </c>
    </row>
    <row r="136" spans="1:10" x14ac:dyDescent="0.35">
      <c r="A136">
        <v>135</v>
      </c>
      <c r="B136">
        <v>22</v>
      </c>
      <c r="C136">
        <v>48</v>
      </c>
      <c r="D136">
        <v>153</v>
      </c>
      <c r="E136" t="s">
        <v>6</v>
      </c>
      <c r="F136" s="4">
        <v>34</v>
      </c>
      <c r="G136">
        <f>2165-1718</f>
        <v>447</v>
      </c>
      <c r="H136" t="s">
        <v>8</v>
      </c>
      <c r="I136">
        <f>(F136-G136)/F136</f>
        <v>-12.147058823529411</v>
      </c>
      <c r="J136" s="6" t="s">
        <v>15</v>
      </c>
    </row>
    <row r="137" spans="1:10" x14ac:dyDescent="0.35">
      <c r="A137">
        <v>136</v>
      </c>
      <c r="B137">
        <v>22</v>
      </c>
      <c r="C137">
        <v>48</v>
      </c>
      <c r="D137">
        <v>153</v>
      </c>
      <c r="E137" t="s">
        <v>6</v>
      </c>
      <c r="F137" s="3">
        <v>364</v>
      </c>
      <c r="G137">
        <f>2404-1940</f>
        <v>464</v>
      </c>
      <c r="I137">
        <f>(F137-G137)/F137</f>
        <v>-0.27472527472527475</v>
      </c>
      <c r="J137" s="6" t="s">
        <v>15</v>
      </c>
    </row>
    <row r="138" spans="1:10" x14ac:dyDescent="0.35">
      <c r="A138">
        <v>137</v>
      </c>
      <c r="B138">
        <v>22</v>
      </c>
      <c r="C138">
        <v>48</v>
      </c>
      <c r="D138">
        <v>153</v>
      </c>
      <c r="E138" t="s">
        <v>6</v>
      </c>
      <c r="F138" s="3">
        <v>447</v>
      </c>
      <c r="G138">
        <f>2304-1875</f>
        <v>429</v>
      </c>
      <c r="I138">
        <f>(F138-G138)/F138</f>
        <v>4.0268456375838924E-2</v>
      </c>
      <c r="J138" s="6" t="s">
        <v>15</v>
      </c>
    </row>
    <row r="139" spans="1:10" x14ac:dyDescent="0.35">
      <c r="A139">
        <v>138</v>
      </c>
      <c r="B139">
        <v>22</v>
      </c>
      <c r="C139">
        <v>48</v>
      </c>
      <c r="D139">
        <v>153</v>
      </c>
      <c r="E139" t="s">
        <v>6</v>
      </c>
      <c r="F139" s="3">
        <v>430</v>
      </c>
      <c r="G139">
        <f>2474-2041</f>
        <v>433</v>
      </c>
      <c r="I139">
        <f>(F139-G139)/F139</f>
        <v>-6.9767441860465115E-3</v>
      </c>
      <c r="J139" s="6" t="s">
        <v>15</v>
      </c>
    </row>
    <row r="140" spans="1:10" x14ac:dyDescent="0.35">
      <c r="A140">
        <v>139</v>
      </c>
      <c r="B140">
        <v>22</v>
      </c>
      <c r="C140">
        <v>48</v>
      </c>
      <c r="D140">
        <v>153</v>
      </c>
      <c r="E140" t="s">
        <v>6</v>
      </c>
      <c r="F140" s="3">
        <v>512</v>
      </c>
      <c r="G140">
        <f>2245-1781</f>
        <v>464</v>
      </c>
      <c r="I140">
        <f>(F140-G140)/F140</f>
        <v>9.375E-2</v>
      </c>
      <c r="J140" s="6" t="s">
        <v>15</v>
      </c>
    </row>
    <row r="141" spans="1:10" x14ac:dyDescent="0.35">
      <c r="A141">
        <v>140</v>
      </c>
      <c r="B141">
        <v>22</v>
      </c>
      <c r="C141">
        <v>78</v>
      </c>
      <c r="D141">
        <v>170</v>
      </c>
      <c r="E141" t="s">
        <v>5</v>
      </c>
      <c r="F141" s="3">
        <v>433</v>
      </c>
      <c r="G141">
        <f>1728-1351</f>
        <v>377</v>
      </c>
      <c r="I141">
        <f>(F141-G141)/F141</f>
        <v>0.12933025404157045</v>
      </c>
      <c r="J141" s="6" t="s">
        <v>13</v>
      </c>
    </row>
    <row r="142" spans="1:10" x14ac:dyDescent="0.35">
      <c r="A142">
        <v>141</v>
      </c>
      <c r="B142">
        <v>22</v>
      </c>
      <c r="C142">
        <v>78</v>
      </c>
      <c r="D142">
        <v>170</v>
      </c>
      <c r="E142" t="s">
        <v>5</v>
      </c>
      <c r="F142" s="3">
        <v>407</v>
      </c>
      <c r="G142">
        <f>363-0</f>
        <v>363</v>
      </c>
      <c r="I142">
        <f>(F142-G142)/F142</f>
        <v>0.10810810810810811</v>
      </c>
      <c r="J142" s="6" t="s">
        <v>13</v>
      </c>
    </row>
    <row r="143" spans="1:10" x14ac:dyDescent="0.35">
      <c r="A143">
        <v>142</v>
      </c>
      <c r="B143">
        <v>22</v>
      </c>
      <c r="C143">
        <v>78</v>
      </c>
      <c r="D143">
        <v>170</v>
      </c>
      <c r="E143" t="s">
        <v>5</v>
      </c>
      <c r="F143" s="3">
        <v>432</v>
      </c>
      <c r="G143">
        <f>463-0</f>
        <v>463</v>
      </c>
      <c r="I143">
        <f>(F143-G143)/F143</f>
        <v>-7.1759259259259259E-2</v>
      </c>
      <c r="J143" s="6" t="s">
        <v>13</v>
      </c>
    </row>
    <row r="144" spans="1:10" x14ac:dyDescent="0.35">
      <c r="A144">
        <v>143</v>
      </c>
      <c r="B144">
        <v>22</v>
      </c>
      <c r="C144">
        <v>78</v>
      </c>
      <c r="D144">
        <v>170</v>
      </c>
      <c r="E144" t="s">
        <v>5</v>
      </c>
      <c r="F144" s="3">
        <v>414</v>
      </c>
      <c r="G144">
        <f>912-523</f>
        <v>389</v>
      </c>
      <c r="I144">
        <f>(F144-G144)/F144</f>
        <v>6.0386473429951688E-2</v>
      </c>
      <c r="J144" s="6" t="s">
        <v>13</v>
      </c>
    </row>
    <row r="145" spans="1:10" x14ac:dyDescent="0.35">
      <c r="A145">
        <v>144</v>
      </c>
      <c r="B145">
        <v>22</v>
      </c>
      <c r="C145">
        <v>78</v>
      </c>
      <c r="D145">
        <v>170</v>
      </c>
      <c r="E145" t="s">
        <v>5</v>
      </c>
      <c r="F145" s="3">
        <v>416</v>
      </c>
      <c r="G145">
        <f>860-484</f>
        <v>376</v>
      </c>
      <c r="I145">
        <f>(F145-G145)/F145</f>
        <v>9.6153846153846159E-2</v>
      </c>
      <c r="J145" s="6" t="s">
        <v>13</v>
      </c>
    </row>
    <row r="146" spans="1:10" x14ac:dyDescent="0.35">
      <c r="A146">
        <v>145</v>
      </c>
      <c r="B146">
        <v>22</v>
      </c>
      <c r="C146">
        <v>78</v>
      </c>
      <c r="D146">
        <v>170</v>
      </c>
      <c r="E146" t="s">
        <v>5</v>
      </c>
      <c r="F146" s="3">
        <v>431</v>
      </c>
      <c r="G146">
        <f>1446-1054</f>
        <v>392</v>
      </c>
      <c r="I146">
        <f>(F146-G146)/F146</f>
        <v>9.0487238979118326E-2</v>
      </c>
      <c r="J146" s="6" t="s">
        <v>13</v>
      </c>
    </row>
    <row r="147" spans="1:10" x14ac:dyDescent="0.35">
      <c r="A147">
        <v>146</v>
      </c>
      <c r="B147">
        <v>22</v>
      </c>
      <c r="C147">
        <v>78</v>
      </c>
      <c r="D147">
        <v>170</v>
      </c>
      <c r="E147" t="s">
        <v>5</v>
      </c>
      <c r="F147" s="3">
        <v>429</v>
      </c>
      <c r="G147">
        <f>662-256</f>
        <v>406</v>
      </c>
      <c r="I147">
        <f>(F147-G147)/F147</f>
        <v>5.3613053613053616E-2</v>
      </c>
      <c r="J147" s="6" t="s">
        <v>13</v>
      </c>
    </row>
    <row r="148" spans="1:10" x14ac:dyDescent="0.35">
      <c r="A148">
        <v>147</v>
      </c>
      <c r="B148">
        <v>22</v>
      </c>
      <c r="C148">
        <v>78</v>
      </c>
      <c r="D148">
        <v>170</v>
      </c>
      <c r="E148" t="s">
        <v>5</v>
      </c>
      <c r="F148" s="3">
        <v>433</v>
      </c>
      <c r="G148">
        <f>1263-890</f>
        <v>373</v>
      </c>
      <c r="I148">
        <f>(F148-G148)/F148</f>
        <v>0.13856812933025403</v>
      </c>
      <c r="J148" s="6" t="s">
        <v>13</v>
      </c>
    </row>
    <row r="149" spans="1:10" x14ac:dyDescent="0.35">
      <c r="A149">
        <v>148</v>
      </c>
      <c r="B149">
        <v>22</v>
      </c>
      <c r="C149">
        <v>78</v>
      </c>
      <c r="D149">
        <v>170</v>
      </c>
      <c r="E149" t="s">
        <v>5</v>
      </c>
      <c r="F149" s="3">
        <v>414</v>
      </c>
      <c r="G149">
        <f>859-455</f>
        <v>404</v>
      </c>
      <c r="I149">
        <f>(F149-G149)/F149</f>
        <v>2.4154589371980676E-2</v>
      </c>
      <c r="J149" s="6" t="s">
        <v>13</v>
      </c>
    </row>
    <row r="150" spans="1:10" x14ac:dyDescent="0.35">
      <c r="A150">
        <v>149</v>
      </c>
      <c r="B150">
        <v>22</v>
      </c>
      <c r="C150">
        <v>78</v>
      </c>
      <c r="D150">
        <v>170</v>
      </c>
      <c r="E150" t="s">
        <v>5</v>
      </c>
      <c r="F150" s="3">
        <v>416</v>
      </c>
      <c r="G150">
        <f>1276-880</f>
        <v>396</v>
      </c>
      <c r="I150">
        <f>(F150-G150)/F150</f>
        <v>4.807692307692308E-2</v>
      </c>
      <c r="J150" s="6" t="s">
        <v>13</v>
      </c>
    </row>
    <row r="151" spans="1:10" x14ac:dyDescent="0.35">
      <c r="A151">
        <v>150</v>
      </c>
      <c r="B151">
        <v>22</v>
      </c>
      <c r="C151">
        <v>78</v>
      </c>
      <c r="D151">
        <v>170</v>
      </c>
      <c r="E151" t="s">
        <v>5</v>
      </c>
      <c r="F151" s="3">
        <v>417</v>
      </c>
      <c r="G151">
        <f>1320-954</f>
        <v>366</v>
      </c>
      <c r="I151">
        <f>(F151-G151)/F151</f>
        <v>0.1223021582733813</v>
      </c>
      <c r="J151" s="6" t="s">
        <v>13</v>
      </c>
    </row>
    <row r="152" spans="1:10" x14ac:dyDescent="0.35">
      <c r="A152">
        <v>151</v>
      </c>
      <c r="B152">
        <v>22</v>
      </c>
      <c r="C152">
        <v>78</v>
      </c>
      <c r="D152">
        <v>170</v>
      </c>
      <c r="E152" t="s">
        <v>5</v>
      </c>
      <c r="F152" s="3">
        <v>431</v>
      </c>
      <c r="G152">
        <f>909-499</f>
        <v>410</v>
      </c>
      <c r="I152">
        <f>(F152-G152)/F152</f>
        <v>4.8723897911832945E-2</v>
      </c>
      <c r="J152" s="6" t="s">
        <v>13</v>
      </c>
    </row>
    <row r="153" spans="1:10" x14ac:dyDescent="0.35">
      <c r="A153">
        <v>152</v>
      </c>
      <c r="B153">
        <v>22</v>
      </c>
      <c r="C153">
        <v>78</v>
      </c>
      <c r="D153">
        <v>170</v>
      </c>
      <c r="E153" t="s">
        <v>5</v>
      </c>
      <c r="F153" s="3">
        <v>431</v>
      </c>
      <c r="G153">
        <f>1153-740</f>
        <v>413</v>
      </c>
      <c r="I153">
        <f>(F153-G153)/F153</f>
        <v>4.1763341067285381E-2</v>
      </c>
      <c r="J153" s="6" t="s">
        <v>13</v>
      </c>
    </row>
    <row r="154" spans="1:10" x14ac:dyDescent="0.35">
      <c r="A154">
        <v>153</v>
      </c>
      <c r="B154">
        <v>22</v>
      </c>
      <c r="C154">
        <v>78</v>
      </c>
      <c r="D154">
        <v>170</v>
      </c>
      <c r="E154" t="s">
        <v>5</v>
      </c>
      <c r="F154" s="3">
        <v>415</v>
      </c>
      <c r="G154">
        <f>870-459</f>
        <v>411</v>
      </c>
      <c r="I154">
        <f>(F154-G154)/F154</f>
        <v>9.6385542168674707E-3</v>
      </c>
      <c r="J154" s="6" t="s">
        <v>13</v>
      </c>
    </row>
    <row r="155" spans="1:10" x14ac:dyDescent="0.35">
      <c r="A155">
        <v>154</v>
      </c>
      <c r="B155">
        <v>22</v>
      </c>
      <c r="C155">
        <v>78</v>
      </c>
      <c r="D155">
        <v>170</v>
      </c>
      <c r="E155" t="s">
        <v>5</v>
      </c>
      <c r="F155" s="3">
        <v>431</v>
      </c>
      <c r="G155">
        <f>354-0</f>
        <v>354</v>
      </c>
      <c r="I155">
        <f>(F155-G155)/F155</f>
        <v>0.17865429234338748</v>
      </c>
      <c r="J155" s="6" t="s">
        <v>13</v>
      </c>
    </row>
    <row r="156" spans="1:10" x14ac:dyDescent="0.35">
      <c r="A156">
        <v>155</v>
      </c>
      <c r="B156">
        <v>22</v>
      </c>
      <c r="C156">
        <v>78</v>
      </c>
      <c r="D156">
        <v>170</v>
      </c>
      <c r="E156" t="s">
        <v>5</v>
      </c>
      <c r="F156" s="3">
        <v>398</v>
      </c>
      <c r="G156">
        <f>539-186</f>
        <v>353</v>
      </c>
      <c r="I156">
        <f>(F156-G156)/F156</f>
        <v>0.11306532663316583</v>
      </c>
      <c r="J156" s="6" t="s">
        <v>13</v>
      </c>
    </row>
    <row r="157" spans="1:10" x14ac:dyDescent="0.35">
      <c r="A157">
        <v>156</v>
      </c>
      <c r="B157">
        <v>22</v>
      </c>
      <c r="C157">
        <v>78</v>
      </c>
      <c r="D157">
        <v>170</v>
      </c>
      <c r="E157" t="s">
        <v>5</v>
      </c>
      <c r="F157" s="3">
        <v>431</v>
      </c>
      <c r="G157">
        <f>526-112</f>
        <v>414</v>
      </c>
      <c r="I157">
        <f>(F157-G157)/F157</f>
        <v>3.9443155452436193E-2</v>
      </c>
      <c r="J157" s="6" t="s">
        <v>13</v>
      </c>
    </row>
    <row r="158" spans="1:10" x14ac:dyDescent="0.35">
      <c r="A158">
        <v>157</v>
      </c>
      <c r="B158">
        <v>22</v>
      </c>
      <c r="C158">
        <v>78</v>
      </c>
      <c r="D158">
        <v>170</v>
      </c>
      <c r="E158" t="s">
        <v>5</v>
      </c>
      <c r="F158" s="3">
        <v>413</v>
      </c>
      <c r="G158">
        <f>348-0</f>
        <v>348</v>
      </c>
      <c r="I158">
        <f>(F158-G158)/F158</f>
        <v>0.15738498789346247</v>
      </c>
      <c r="J158" s="6" t="s">
        <v>13</v>
      </c>
    </row>
    <row r="159" spans="1:10" x14ac:dyDescent="0.35">
      <c r="A159">
        <v>158</v>
      </c>
      <c r="B159">
        <v>22</v>
      </c>
      <c r="C159">
        <v>78</v>
      </c>
      <c r="D159">
        <v>170</v>
      </c>
      <c r="E159" t="s">
        <v>5</v>
      </c>
      <c r="F159" s="3">
        <v>413</v>
      </c>
      <c r="G159">
        <f>445-70</f>
        <v>375</v>
      </c>
      <c r="I159">
        <f>(F159-G159)/F159</f>
        <v>9.2009685230024216E-2</v>
      </c>
      <c r="J159" s="6" t="s">
        <v>13</v>
      </c>
    </row>
    <row r="160" spans="1:10" x14ac:dyDescent="0.35">
      <c r="A160">
        <v>159</v>
      </c>
      <c r="B160">
        <v>22</v>
      </c>
      <c r="C160">
        <v>78</v>
      </c>
      <c r="D160">
        <v>170</v>
      </c>
      <c r="E160" t="s">
        <v>5</v>
      </c>
      <c r="F160" s="3">
        <v>398</v>
      </c>
      <c r="G160">
        <f>1236-877</f>
        <v>359</v>
      </c>
      <c r="I160">
        <f>(F160-G160)/F160</f>
        <v>9.7989949748743713E-2</v>
      </c>
      <c r="J160" s="6" t="s">
        <v>13</v>
      </c>
    </row>
    <row r="161" spans="1:10" x14ac:dyDescent="0.35">
      <c r="A161">
        <v>160</v>
      </c>
      <c r="B161">
        <v>22</v>
      </c>
      <c r="C161">
        <v>78</v>
      </c>
      <c r="D161">
        <v>170</v>
      </c>
      <c r="E161" t="s">
        <v>5</v>
      </c>
      <c r="F161" s="3">
        <v>415</v>
      </c>
      <c r="G161">
        <f>394-0</f>
        <v>394</v>
      </c>
      <c r="I161">
        <f>(F161-G161)/F161</f>
        <v>5.0602409638554217E-2</v>
      </c>
      <c r="J161" s="6" t="s">
        <v>13</v>
      </c>
    </row>
    <row r="162" spans="1:10" x14ac:dyDescent="0.35">
      <c r="A162">
        <v>161</v>
      </c>
      <c r="B162">
        <v>22</v>
      </c>
      <c r="C162">
        <v>78</v>
      </c>
      <c r="D162">
        <v>170</v>
      </c>
      <c r="E162" t="s">
        <v>5</v>
      </c>
      <c r="F162" s="3">
        <v>417</v>
      </c>
      <c r="G162">
        <f>496-88</f>
        <v>408</v>
      </c>
      <c r="I162">
        <f>(F162-G162)/F162</f>
        <v>2.1582733812949641E-2</v>
      </c>
      <c r="J162" s="6" t="s">
        <v>13</v>
      </c>
    </row>
    <row r="163" spans="1:10" x14ac:dyDescent="0.35">
      <c r="A163">
        <v>162</v>
      </c>
      <c r="B163">
        <v>22</v>
      </c>
      <c r="C163">
        <v>78</v>
      </c>
      <c r="D163">
        <v>170</v>
      </c>
      <c r="E163" t="s">
        <v>5</v>
      </c>
      <c r="F163" s="3">
        <v>381</v>
      </c>
      <c r="G163">
        <f>420-92</f>
        <v>328</v>
      </c>
      <c r="I163">
        <f>(F163-G163)/F163</f>
        <v>0.13910761154855644</v>
      </c>
      <c r="J163" s="6" t="s">
        <v>13</v>
      </c>
    </row>
    <row r="164" spans="1:10" x14ac:dyDescent="0.35">
      <c r="A164">
        <v>163</v>
      </c>
      <c r="B164">
        <v>22</v>
      </c>
      <c r="C164">
        <v>78</v>
      </c>
      <c r="D164">
        <v>170</v>
      </c>
      <c r="E164" t="s">
        <v>5</v>
      </c>
      <c r="F164" s="3">
        <v>427</v>
      </c>
      <c r="G164">
        <f>769-335</f>
        <v>434</v>
      </c>
      <c r="I164">
        <f>(F164-G164)/F164</f>
        <v>-1.6393442622950821E-2</v>
      </c>
      <c r="J164" s="6" t="s">
        <v>13</v>
      </c>
    </row>
    <row r="165" spans="1:10" x14ac:dyDescent="0.35">
      <c r="A165">
        <v>164</v>
      </c>
      <c r="B165">
        <v>22</v>
      </c>
      <c r="C165">
        <v>78</v>
      </c>
      <c r="D165">
        <v>170</v>
      </c>
      <c r="E165" t="s">
        <v>5</v>
      </c>
      <c r="F165" s="3">
        <v>432</v>
      </c>
      <c r="G165">
        <f>710-311</f>
        <v>399</v>
      </c>
      <c r="I165">
        <f>(F165-G165)/F165</f>
        <v>7.6388888888888895E-2</v>
      </c>
      <c r="J165" s="6" t="s">
        <v>13</v>
      </c>
    </row>
    <row r="166" spans="1:10" x14ac:dyDescent="0.35">
      <c r="A166">
        <v>165</v>
      </c>
      <c r="B166">
        <v>22</v>
      </c>
      <c r="C166">
        <v>78</v>
      </c>
      <c r="D166">
        <v>170</v>
      </c>
      <c r="E166" t="s">
        <v>5</v>
      </c>
      <c r="F166" s="3">
        <v>415</v>
      </c>
      <c r="G166">
        <f>1062-632</f>
        <v>430</v>
      </c>
      <c r="I166">
        <f>(F166-G166)/F166</f>
        <v>-3.614457831325301E-2</v>
      </c>
      <c r="J166" s="6" t="s">
        <v>13</v>
      </c>
    </row>
    <row r="167" spans="1:10" x14ac:dyDescent="0.35">
      <c r="A167">
        <v>166</v>
      </c>
      <c r="B167">
        <v>22</v>
      </c>
      <c r="C167">
        <v>78</v>
      </c>
      <c r="D167">
        <v>170</v>
      </c>
      <c r="E167" t="s">
        <v>5</v>
      </c>
      <c r="F167" s="3">
        <v>381</v>
      </c>
      <c r="G167">
        <f>376-0</f>
        <v>376</v>
      </c>
      <c r="I167">
        <f>(F167-G167)/F167</f>
        <v>1.3123359580052493E-2</v>
      </c>
      <c r="J167" s="6" t="s">
        <v>13</v>
      </c>
    </row>
    <row r="168" spans="1:10" x14ac:dyDescent="0.35">
      <c r="A168">
        <v>167</v>
      </c>
      <c r="B168">
        <v>22</v>
      </c>
      <c r="C168">
        <v>78</v>
      </c>
      <c r="D168">
        <v>170</v>
      </c>
      <c r="E168" t="s">
        <v>5</v>
      </c>
      <c r="F168" s="3">
        <v>382</v>
      </c>
      <c r="G168">
        <f>1460-1118</f>
        <v>342</v>
      </c>
      <c r="I168">
        <f>(F168-G168)/F168</f>
        <v>0.10471204188481675</v>
      </c>
      <c r="J168" s="6" t="s">
        <v>13</v>
      </c>
    </row>
    <row r="169" spans="1:10" x14ac:dyDescent="0.35">
      <c r="A169">
        <v>168</v>
      </c>
      <c r="B169">
        <v>22</v>
      </c>
      <c r="C169">
        <v>78</v>
      </c>
      <c r="D169">
        <v>170</v>
      </c>
      <c r="E169" t="s">
        <v>5</v>
      </c>
      <c r="F169" s="3">
        <v>415</v>
      </c>
      <c r="G169">
        <f>811-433</f>
        <v>378</v>
      </c>
      <c r="I169">
        <f>(F169-G169)/F169</f>
        <v>8.91566265060241E-2</v>
      </c>
      <c r="J169" s="6" t="s">
        <v>13</v>
      </c>
    </row>
    <row r="170" spans="1:10" x14ac:dyDescent="0.35">
      <c r="A170">
        <v>169</v>
      </c>
      <c r="B170">
        <v>22</v>
      </c>
      <c r="C170">
        <v>78</v>
      </c>
      <c r="D170">
        <v>170</v>
      </c>
      <c r="E170" t="s">
        <v>5</v>
      </c>
      <c r="F170" s="3">
        <v>399</v>
      </c>
      <c r="G170">
        <f>1151-782</f>
        <v>369</v>
      </c>
      <c r="I170">
        <f>(F170-G170)/F170</f>
        <v>7.5187969924812026E-2</v>
      </c>
      <c r="J170" s="6" t="s">
        <v>13</v>
      </c>
    </row>
    <row r="171" spans="1:10" x14ac:dyDescent="0.35">
      <c r="A171">
        <v>170</v>
      </c>
      <c r="B171">
        <v>22</v>
      </c>
      <c r="C171">
        <v>78</v>
      </c>
      <c r="D171">
        <v>170</v>
      </c>
      <c r="E171" t="s">
        <v>5</v>
      </c>
      <c r="F171" s="3">
        <v>431</v>
      </c>
      <c r="G171">
        <f>468-102</f>
        <v>366</v>
      </c>
      <c r="I171">
        <f>(F171-G171)/F171</f>
        <v>0.15081206496519722</v>
      </c>
      <c r="J171" s="6" t="s">
        <v>13</v>
      </c>
    </row>
    <row r="172" spans="1:10" x14ac:dyDescent="0.35">
      <c r="A172">
        <v>171</v>
      </c>
      <c r="B172">
        <v>22</v>
      </c>
      <c r="C172">
        <v>78</v>
      </c>
      <c r="D172">
        <v>170</v>
      </c>
      <c r="E172" t="s">
        <v>5</v>
      </c>
      <c r="F172" s="3">
        <v>398</v>
      </c>
      <c r="G172">
        <f>1068-720</f>
        <v>348</v>
      </c>
      <c r="I172">
        <f>(F172-G172)/F172</f>
        <v>0.12562814070351758</v>
      </c>
      <c r="J172" s="6" t="s">
        <v>13</v>
      </c>
    </row>
    <row r="173" spans="1:10" x14ac:dyDescent="0.35">
      <c r="A173">
        <v>172</v>
      </c>
      <c r="B173">
        <v>22</v>
      </c>
      <c r="C173">
        <v>78</v>
      </c>
      <c r="D173">
        <v>170</v>
      </c>
      <c r="E173" t="s">
        <v>5</v>
      </c>
      <c r="F173" s="3">
        <v>415</v>
      </c>
      <c r="G173">
        <f>768-350</f>
        <v>418</v>
      </c>
      <c r="I173">
        <f>(F173-G173)/F173</f>
        <v>-7.2289156626506026E-3</v>
      </c>
      <c r="J173" s="6" t="s">
        <v>13</v>
      </c>
    </row>
    <row r="174" spans="1:10" x14ac:dyDescent="0.35">
      <c r="A174">
        <v>173</v>
      </c>
      <c r="B174">
        <v>22</v>
      </c>
      <c r="C174">
        <v>78</v>
      </c>
      <c r="D174">
        <v>170</v>
      </c>
      <c r="E174" t="s">
        <v>5</v>
      </c>
      <c r="F174" s="3">
        <v>382</v>
      </c>
      <c r="G174">
        <f>968-600</f>
        <v>368</v>
      </c>
      <c r="I174">
        <f>(F174-G174)/F174</f>
        <v>3.6649214659685861E-2</v>
      </c>
      <c r="J174" s="6" t="s">
        <v>13</v>
      </c>
    </row>
    <row r="175" spans="1:10" x14ac:dyDescent="0.35">
      <c r="A175">
        <v>174</v>
      </c>
      <c r="B175">
        <v>22</v>
      </c>
      <c r="C175">
        <v>78</v>
      </c>
      <c r="D175">
        <v>170</v>
      </c>
      <c r="E175" t="s">
        <v>5</v>
      </c>
      <c r="F175" s="3">
        <v>415</v>
      </c>
      <c r="G175">
        <f>558-150</f>
        <v>408</v>
      </c>
      <c r="I175">
        <f>(F175-G175)/F175</f>
        <v>1.6867469879518072E-2</v>
      </c>
      <c r="J175" s="6" t="s">
        <v>13</v>
      </c>
    </row>
    <row r="176" spans="1:10" x14ac:dyDescent="0.35">
      <c r="A176">
        <v>175</v>
      </c>
      <c r="B176">
        <v>22</v>
      </c>
      <c r="C176">
        <v>78</v>
      </c>
      <c r="D176">
        <v>170</v>
      </c>
      <c r="E176" t="s">
        <v>5</v>
      </c>
      <c r="F176" s="3">
        <v>381</v>
      </c>
      <c r="G176">
        <f>1182-847</f>
        <v>335</v>
      </c>
      <c r="I176">
        <f>(F176-G176)/F176</f>
        <v>0.12073490813648294</v>
      </c>
      <c r="J176" s="6" t="s">
        <v>13</v>
      </c>
    </row>
    <row r="177" spans="1:10" x14ac:dyDescent="0.35">
      <c r="A177">
        <v>176</v>
      </c>
      <c r="B177">
        <v>22</v>
      </c>
      <c r="C177">
        <v>78</v>
      </c>
      <c r="D177">
        <v>170</v>
      </c>
      <c r="E177" t="s">
        <v>5</v>
      </c>
      <c r="F177" s="3">
        <v>398</v>
      </c>
      <c r="G177">
        <f>910-527</f>
        <v>383</v>
      </c>
      <c r="I177">
        <f>(F177-G177)/F177</f>
        <v>3.7688442211055273E-2</v>
      </c>
      <c r="J177" s="6" t="s">
        <v>13</v>
      </c>
    </row>
    <row r="178" spans="1:10" x14ac:dyDescent="0.35">
      <c r="A178">
        <v>177</v>
      </c>
      <c r="B178">
        <v>22</v>
      </c>
      <c r="C178">
        <v>78</v>
      </c>
      <c r="D178">
        <v>170</v>
      </c>
      <c r="E178" t="s">
        <v>5</v>
      </c>
      <c r="F178" s="3">
        <v>366</v>
      </c>
      <c r="G178">
        <f>1239-871</f>
        <v>368</v>
      </c>
      <c r="I178">
        <f>(F178-G178)/F178</f>
        <v>-5.4644808743169399E-3</v>
      </c>
      <c r="J178" s="6" t="s">
        <v>13</v>
      </c>
    </row>
    <row r="179" spans="1:10" x14ac:dyDescent="0.35">
      <c r="A179">
        <v>178</v>
      </c>
      <c r="B179">
        <v>22</v>
      </c>
      <c r="C179">
        <v>78</v>
      </c>
      <c r="D179">
        <v>170</v>
      </c>
      <c r="E179" t="s">
        <v>5</v>
      </c>
      <c r="F179" s="3">
        <v>397</v>
      </c>
      <c r="G179">
        <f>1597-1233</f>
        <v>364</v>
      </c>
      <c r="I179">
        <f>(F179-G179)/F179</f>
        <v>8.3123425692695208E-2</v>
      </c>
      <c r="J179" s="6" t="s">
        <v>13</v>
      </c>
    </row>
    <row r="180" spans="1:10" x14ac:dyDescent="0.35">
      <c r="A180">
        <v>179</v>
      </c>
      <c r="B180">
        <v>22</v>
      </c>
      <c r="C180">
        <v>78</v>
      </c>
      <c r="D180">
        <v>170</v>
      </c>
      <c r="E180" t="s">
        <v>5</v>
      </c>
      <c r="F180" s="3">
        <v>383</v>
      </c>
      <c r="G180">
        <f>320-0</f>
        <v>320</v>
      </c>
      <c r="I180">
        <f>(F180-G180)/F180</f>
        <v>0.16449086161879894</v>
      </c>
      <c r="J180" s="6" t="s">
        <v>13</v>
      </c>
    </row>
    <row r="181" spans="1:10" x14ac:dyDescent="0.35">
      <c r="A181">
        <v>180</v>
      </c>
      <c r="B181">
        <v>22</v>
      </c>
      <c r="C181">
        <v>78</v>
      </c>
      <c r="D181">
        <v>170</v>
      </c>
      <c r="E181" t="s">
        <v>5</v>
      </c>
      <c r="F181" s="3">
        <v>398</v>
      </c>
      <c r="G181">
        <f>384-0</f>
        <v>384</v>
      </c>
      <c r="I181">
        <f>(F181-G181)/F181</f>
        <v>3.5175879396984924E-2</v>
      </c>
      <c r="J181" s="6" t="s">
        <v>13</v>
      </c>
    </row>
    <row r="182" spans="1:10" x14ac:dyDescent="0.35">
      <c r="A182">
        <v>181</v>
      </c>
      <c r="B182">
        <v>22</v>
      </c>
      <c r="C182">
        <v>78</v>
      </c>
      <c r="D182">
        <v>170</v>
      </c>
      <c r="E182" t="s">
        <v>5</v>
      </c>
      <c r="F182" s="3">
        <v>413</v>
      </c>
      <c r="G182">
        <f>1275-896</f>
        <v>379</v>
      </c>
      <c r="I182">
        <f>(F182-G182)/F182</f>
        <v>8.2324455205811137E-2</v>
      </c>
      <c r="J182" s="6" t="s">
        <v>13</v>
      </c>
    </row>
    <row r="183" spans="1:10" x14ac:dyDescent="0.35">
      <c r="A183">
        <v>182</v>
      </c>
      <c r="B183">
        <v>22</v>
      </c>
      <c r="C183">
        <v>78</v>
      </c>
      <c r="D183">
        <v>170</v>
      </c>
      <c r="E183" t="s">
        <v>5</v>
      </c>
      <c r="F183" s="3">
        <v>396</v>
      </c>
      <c r="G183">
        <f>1401-1021</f>
        <v>380</v>
      </c>
      <c r="I183">
        <f>(F183-G183)/F183</f>
        <v>4.0404040404040407E-2</v>
      </c>
      <c r="J183" s="6" t="s">
        <v>13</v>
      </c>
    </row>
    <row r="184" spans="1:10" x14ac:dyDescent="0.35">
      <c r="A184">
        <v>183</v>
      </c>
      <c r="B184">
        <v>22</v>
      </c>
      <c r="C184">
        <v>78</v>
      </c>
      <c r="D184">
        <v>170</v>
      </c>
      <c r="E184" t="s">
        <v>5</v>
      </c>
      <c r="F184" s="3">
        <v>398</v>
      </c>
      <c r="G184">
        <f>1544-1188</f>
        <v>356</v>
      </c>
      <c r="I184">
        <f>(F184-G184)/F184</f>
        <v>0.10552763819095477</v>
      </c>
      <c r="J184" s="6" t="s">
        <v>13</v>
      </c>
    </row>
    <row r="185" spans="1:10" x14ac:dyDescent="0.35">
      <c r="A185">
        <v>184</v>
      </c>
      <c r="B185">
        <v>22</v>
      </c>
      <c r="C185">
        <v>78</v>
      </c>
      <c r="D185">
        <v>170</v>
      </c>
      <c r="E185" t="s">
        <v>5</v>
      </c>
      <c r="F185" s="3">
        <v>397</v>
      </c>
      <c r="G185">
        <f>1605-1228</f>
        <v>377</v>
      </c>
      <c r="I185">
        <f>(F185-G185)/F185</f>
        <v>5.0377833753148617E-2</v>
      </c>
      <c r="J185" s="6" t="s">
        <v>13</v>
      </c>
    </row>
    <row r="186" spans="1:10" x14ac:dyDescent="0.35">
      <c r="A186">
        <v>185</v>
      </c>
      <c r="B186">
        <v>22</v>
      </c>
      <c r="C186">
        <v>78</v>
      </c>
      <c r="D186">
        <v>170</v>
      </c>
      <c r="E186" t="s">
        <v>5</v>
      </c>
      <c r="F186" s="3">
        <v>413</v>
      </c>
      <c r="G186">
        <f>1010-610</f>
        <v>400</v>
      </c>
      <c r="I186">
        <f>(F186-G186)/F186</f>
        <v>3.1476997578692496E-2</v>
      </c>
      <c r="J186" s="6" t="s">
        <v>13</v>
      </c>
    </row>
    <row r="187" spans="1:10" x14ac:dyDescent="0.35">
      <c r="A187">
        <v>186</v>
      </c>
      <c r="B187">
        <v>22</v>
      </c>
      <c r="C187">
        <v>78</v>
      </c>
      <c r="D187">
        <v>170</v>
      </c>
      <c r="E187" t="s">
        <v>5</v>
      </c>
      <c r="F187" s="3">
        <v>414</v>
      </c>
      <c r="G187">
        <f>441-25</f>
        <v>416</v>
      </c>
      <c r="I187">
        <f>(F187-G187)/F187</f>
        <v>-4.830917874396135E-3</v>
      </c>
      <c r="J187" s="6" t="s">
        <v>13</v>
      </c>
    </row>
    <row r="188" spans="1:10" x14ac:dyDescent="0.35">
      <c r="A188">
        <v>187</v>
      </c>
      <c r="B188">
        <v>22</v>
      </c>
      <c r="C188">
        <v>78</v>
      </c>
      <c r="D188">
        <v>170</v>
      </c>
      <c r="E188" t="s">
        <v>5</v>
      </c>
      <c r="F188" s="3">
        <v>398</v>
      </c>
      <c r="G188">
        <f>387-0</f>
        <v>387</v>
      </c>
      <c r="I188">
        <f>(F188-G188)/F188</f>
        <v>2.7638190954773871E-2</v>
      </c>
      <c r="J188" s="6" t="s">
        <v>13</v>
      </c>
    </row>
    <row r="189" spans="1:10" x14ac:dyDescent="0.35">
      <c r="A189">
        <v>188</v>
      </c>
      <c r="B189">
        <v>22</v>
      </c>
      <c r="C189">
        <v>78</v>
      </c>
      <c r="D189">
        <v>170</v>
      </c>
      <c r="E189" t="s">
        <v>5</v>
      </c>
      <c r="F189" s="3">
        <v>380</v>
      </c>
      <c r="G189">
        <f>997-607</f>
        <v>390</v>
      </c>
      <c r="I189">
        <f>(F189-G189)/F189</f>
        <v>-2.6315789473684209E-2</v>
      </c>
      <c r="J189" s="6" t="s">
        <v>13</v>
      </c>
    </row>
    <row r="190" spans="1:10" x14ac:dyDescent="0.35">
      <c r="A190">
        <v>189</v>
      </c>
      <c r="B190">
        <v>22</v>
      </c>
      <c r="C190">
        <v>78</v>
      </c>
      <c r="D190">
        <v>170</v>
      </c>
      <c r="E190" t="s">
        <v>5</v>
      </c>
      <c r="F190" s="3">
        <v>365</v>
      </c>
      <c r="G190">
        <f>367-20</f>
        <v>347</v>
      </c>
      <c r="I190">
        <f>(F190-G190)/F190</f>
        <v>4.9315068493150684E-2</v>
      </c>
      <c r="J190" s="6" t="s">
        <v>13</v>
      </c>
    </row>
    <row r="191" spans="1:10" x14ac:dyDescent="0.35">
      <c r="A191">
        <v>190</v>
      </c>
      <c r="B191">
        <v>22</v>
      </c>
      <c r="C191">
        <v>78</v>
      </c>
      <c r="D191">
        <v>170</v>
      </c>
      <c r="E191" t="s">
        <v>5</v>
      </c>
      <c r="F191" s="3">
        <v>397</v>
      </c>
      <c r="G191">
        <f>1050-684</f>
        <v>366</v>
      </c>
      <c r="I191">
        <f>(F191-G191)/F191</f>
        <v>7.8085642317380355E-2</v>
      </c>
      <c r="J191" s="6" t="s">
        <v>13</v>
      </c>
    </row>
    <row r="192" spans="1:10" x14ac:dyDescent="0.35">
      <c r="A192">
        <v>191</v>
      </c>
      <c r="B192">
        <v>22</v>
      </c>
      <c r="C192">
        <v>78</v>
      </c>
      <c r="D192">
        <v>170</v>
      </c>
      <c r="E192" t="s">
        <v>5</v>
      </c>
      <c r="F192" s="3">
        <v>409</v>
      </c>
      <c r="G192">
        <f>1275-864</f>
        <v>411</v>
      </c>
      <c r="I192">
        <f>(F192-G192)/F192</f>
        <v>-4.8899755501222494E-3</v>
      </c>
      <c r="J192" s="6" t="s">
        <v>13</v>
      </c>
    </row>
    <row r="193" spans="1:10" x14ac:dyDescent="0.35">
      <c r="A193">
        <v>192</v>
      </c>
      <c r="B193">
        <v>22</v>
      </c>
      <c r="C193">
        <v>78</v>
      </c>
      <c r="D193">
        <v>170</v>
      </c>
      <c r="E193" t="s">
        <v>5</v>
      </c>
      <c r="F193" s="3">
        <v>398</v>
      </c>
      <c r="G193">
        <f>575-190</f>
        <v>385</v>
      </c>
      <c r="I193">
        <f>(F193-G193)/F193</f>
        <v>3.2663316582914576E-2</v>
      </c>
      <c r="J193" s="6" t="s">
        <v>13</v>
      </c>
    </row>
    <row r="194" spans="1:10" x14ac:dyDescent="0.35">
      <c r="A194">
        <v>193</v>
      </c>
      <c r="B194">
        <v>22</v>
      </c>
      <c r="C194">
        <v>78</v>
      </c>
      <c r="D194">
        <v>170</v>
      </c>
      <c r="E194" t="s">
        <v>5</v>
      </c>
      <c r="F194" s="3">
        <v>405</v>
      </c>
      <c r="G194">
        <f>797-416</f>
        <v>381</v>
      </c>
      <c r="I194">
        <f>(F194-G194)/F194</f>
        <v>5.9259259259259262E-2</v>
      </c>
      <c r="J194" s="6" t="s">
        <v>13</v>
      </c>
    </row>
    <row r="195" spans="1:10" x14ac:dyDescent="0.35">
      <c r="A195">
        <v>194</v>
      </c>
      <c r="B195">
        <v>22</v>
      </c>
      <c r="C195">
        <v>78</v>
      </c>
      <c r="D195">
        <v>170</v>
      </c>
      <c r="E195" t="s">
        <v>5</v>
      </c>
      <c r="F195" s="3">
        <v>397</v>
      </c>
      <c r="G195">
        <f>962-567</f>
        <v>395</v>
      </c>
      <c r="I195">
        <f>(F195-G195)/F195</f>
        <v>5.0377833753148613E-3</v>
      </c>
      <c r="J195" s="6" t="s">
        <v>13</v>
      </c>
    </row>
    <row r="196" spans="1:10" x14ac:dyDescent="0.35">
      <c r="A196">
        <v>195</v>
      </c>
      <c r="B196">
        <v>22</v>
      </c>
      <c r="C196">
        <v>78</v>
      </c>
      <c r="D196">
        <v>170</v>
      </c>
      <c r="E196" t="s">
        <v>5</v>
      </c>
      <c r="F196" s="3">
        <v>398</v>
      </c>
      <c r="G196">
        <f>1740-1389</f>
        <v>351</v>
      </c>
      <c r="I196">
        <f>(F196-G196)/F196</f>
        <v>0.11809045226130653</v>
      </c>
      <c r="J196" s="6" t="s">
        <v>13</v>
      </c>
    </row>
    <row r="197" spans="1:10" x14ac:dyDescent="0.35">
      <c r="A197">
        <v>196</v>
      </c>
      <c r="B197">
        <v>22</v>
      </c>
      <c r="C197">
        <v>78</v>
      </c>
      <c r="D197">
        <v>170</v>
      </c>
      <c r="E197" t="s">
        <v>5</v>
      </c>
      <c r="F197" s="3">
        <v>396</v>
      </c>
      <c r="G197">
        <f>386-0</f>
        <v>386</v>
      </c>
      <c r="I197">
        <f>(F197-G197)/F197</f>
        <v>2.5252525252525252E-2</v>
      </c>
      <c r="J197" s="6" t="s">
        <v>13</v>
      </c>
    </row>
    <row r="198" spans="1:10" x14ac:dyDescent="0.35">
      <c r="A198">
        <v>197</v>
      </c>
      <c r="B198">
        <v>22</v>
      </c>
      <c r="C198">
        <v>78</v>
      </c>
      <c r="D198">
        <v>170</v>
      </c>
      <c r="E198" t="s">
        <v>5</v>
      </c>
      <c r="F198" s="3">
        <v>397</v>
      </c>
      <c r="G198">
        <f>674-285</f>
        <v>389</v>
      </c>
      <c r="I198">
        <f>(F198-G198)/F198</f>
        <v>2.0151133501259445E-2</v>
      </c>
      <c r="J198" s="6" t="s">
        <v>13</v>
      </c>
    </row>
    <row r="199" spans="1:10" x14ac:dyDescent="0.35">
      <c r="A199">
        <v>198</v>
      </c>
      <c r="B199">
        <v>22</v>
      </c>
      <c r="C199">
        <v>78</v>
      </c>
      <c r="D199">
        <v>170</v>
      </c>
      <c r="E199" t="s">
        <v>5</v>
      </c>
      <c r="F199" s="3">
        <v>363</v>
      </c>
      <c r="G199">
        <f>947-558</f>
        <v>389</v>
      </c>
      <c r="I199">
        <f>(F199-G199)/F199</f>
        <v>-7.1625344352617082E-2</v>
      </c>
      <c r="J199" s="6" t="s">
        <v>13</v>
      </c>
    </row>
    <row r="200" spans="1:10" x14ac:dyDescent="0.35">
      <c r="A200">
        <v>199</v>
      </c>
      <c r="B200">
        <v>22</v>
      </c>
      <c r="C200">
        <v>78</v>
      </c>
      <c r="D200">
        <v>170</v>
      </c>
      <c r="E200" t="s">
        <v>5</v>
      </c>
      <c r="F200" s="3">
        <v>430</v>
      </c>
      <c r="G200">
        <f>842-449</f>
        <v>393</v>
      </c>
      <c r="I200">
        <f>(F200-G200)/F200</f>
        <v>8.6046511627906982E-2</v>
      </c>
      <c r="J200" s="6" t="s">
        <v>13</v>
      </c>
    </row>
    <row r="201" spans="1:10" x14ac:dyDescent="0.35">
      <c r="A201">
        <v>200</v>
      </c>
      <c r="B201">
        <v>22</v>
      </c>
      <c r="C201">
        <v>78</v>
      </c>
      <c r="D201">
        <v>170</v>
      </c>
      <c r="E201" t="s">
        <v>5</v>
      </c>
      <c r="F201" s="3">
        <v>397</v>
      </c>
      <c r="G201">
        <f>1390-984</f>
        <v>406</v>
      </c>
      <c r="I201">
        <f>(F201-G201)/F201</f>
        <v>-2.2670025188916875E-2</v>
      </c>
      <c r="J201" s="6" t="s">
        <v>13</v>
      </c>
    </row>
    <row r="202" spans="1:10" x14ac:dyDescent="0.35">
      <c r="A202">
        <v>201</v>
      </c>
      <c r="B202">
        <v>22</v>
      </c>
      <c r="C202">
        <v>78</v>
      </c>
      <c r="D202">
        <v>170</v>
      </c>
      <c r="E202" t="s">
        <v>5</v>
      </c>
      <c r="F202" s="3">
        <v>413</v>
      </c>
      <c r="G202">
        <f>767-397</f>
        <v>370</v>
      </c>
      <c r="I202">
        <f>(F202-G202)/F202</f>
        <v>0.10411622276029056</v>
      </c>
      <c r="J202" s="6" t="s">
        <v>13</v>
      </c>
    </row>
    <row r="203" spans="1:10" x14ac:dyDescent="0.35">
      <c r="A203">
        <v>202</v>
      </c>
      <c r="B203">
        <v>22</v>
      </c>
      <c r="C203">
        <v>78</v>
      </c>
      <c r="D203">
        <v>170</v>
      </c>
      <c r="E203" t="s">
        <v>5</v>
      </c>
      <c r="F203" s="3">
        <v>397</v>
      </c>
      <c r="G203">
        <f>868-493</f>
        <v>375</v>
      </c>
      <c r="I203">
        <f>(F203-G203)/F203</f>
        <v>5.5415617128463476E-2</v>
      </c>
      <c r="J203" s="6" t="s">
        <v>13</v>
      </c>
    </row>
    <row r="204" spans="1:10" x14ac:dyDescent="0.35">
      <c r="A204">
        <v>203</v>
      </c>
      <c r="B204">
        <v>22</v>
      </c>
      <c r="C204">
        <v>78</v>
      </c>
      <c r="D204">
        <v>170</v>
      </c>
      <c r="E204" t="s">
        <v>5</v>
      </c>
      <c r="F204" s="3">
        <v>381</v>
      </c>
      <c r="G204">
        <f>401-0</f>
        <v>401</v>
      </c>
      <c r="I204">
        <f>(F204-G204)/F204</f>
        <v>-5.2493438320209973E-2</v>
      </c>
      <c r="J204" s="6" t="s">
        <v>13</v>
      </c>
    </row>
    <row r="205" spans="1:10" x14ac:dyDescent="0.35">
      <c r="A205">
        <v>204</v>
      </c>
      <c r="B205">
        <v>22</v>
      </c>
      <c r="C205">
        <v>78</v>
      </c>
      <c r="D205">
        <v>170</v>
      </c>
      <c r="E205" t="s">
        <v>5</v>
      </c>
      <c r="F205" s="3">
        <v>380</v>
      </c>
      <c r="G205">
        <f>1260-857</f>
        <v>403</v>
      </c>
      <c r="I205">
        <f>(F205-G205)/F205</f>
        <v>-6.0526315789473685E-2</v>
      </c>
      <c r="J205" s="6" t="s">
        <v>13</v>
      </c>
    </row>
    <row r="206" spans="1:10" x14ac:dyDescent="0.35">
      <c r="A206">
        <v>205</v>
      </c>
      <c r="B206">
        <v>22</v>
      </c>
      <c r="C206">
        <v>78</v>
      </c>
      <c r="D206">
        <v>170</v>
      </c>
      <c r="E206" t="s">
        <v>5</v>
      </c>
      <c r="F206" s="3">
        <v>398</v>
      </c>
      <c r="G206">
        <f>910-519</f>
        <v>391</v>
      </c>
      <c r="I206">
        <f>(F206-G206)/F206</f>
        <v>1.7587939698492462E-2</v>
      </c>
      <c r="J206" s="6" t="s">
        <v>13</v>
      </c>
    </row>
    <row r="207" spans="1:10" x14ac:dyDescent="0.35">
      <c r="A207">
        <v>206</v>
      </c>
      <c r="B207">
        <v>22</v>
      </c>
      <c r="C207">
        <v>78</v>
      </c>
      <c r="D207">
        <v>170</v>
      </c>
      <c r="E207" t="s">
        <v>5</v>
      </c>
      <c r="F207" s="3">
        <v>397</v>
      </c>
      <c r="G207">
        <f>933-535</f>
        <v>398</v>
      </c>
      <c r="I207">
        <f>(F207-G207)/F207</f>
        <v>-2.5188916876574307E-3</v>
      </c>
      <c r="J207" s="6" t="s">
        <v>13</v>
      </c>
    </row>
    <row r="208" spans="1:10" x14ac:dyDescent="0.35">
      <c r="A208">
        <v>207</v>
      </c>
      <c r="B208">
        <v>22</v>
      </c>
      <c r="C208">
        <v>78</v>
      </c>
      <c r="D208">
        <v>170</v>
      </c>
      <c r="E208" t="s">
        <v>5</v>
      </c>
      <c r="F208" s="3">
        <v>379</v>
      </c>
      <c r="G208">
        <f>324-0</f>
        <v>324</v>
      </c>
      <c r="I208">
        <f>(F208-G208)/F208</f>
        <v>0.14511873350923482</v>
      </c>
      <c r="J208" s="6" t="s">
        <v>13</v>
      </c>
    </row>
    <row r="209" spans="1:10" x14ac:dyDescent="0.35">
      <c r="A209">
        <v>208</v>
      </c>
      <c r="B209">
        <v>22</v>
      </c>
      <c r="C209">
        <v>78</v>
      </c>
      <c r="D209">
        <v>170</v>
      </c>
      <c r="E209" t="s">
        <v>5</v>
      </c>
      <c r="F209" s="3">
        <v>380</v>
      </c>
      <c r="G209">
        <f>1304-934</f>
        <v>370</v>
      </c>
      <c r="I209">
        <f>(F209-G209)/F209</f>
        <v>2.6315789473684209E-2</v>
      </c>
      <c r="J209" s="6" t="s">
        <v>13</v>
      </c>
    </row>
    <row r="210" spans="1:10" x14ac:dyDescent="0.35">
      <c r="A210">
        <v>209</v>
      </c>
      <c r="B210">
        <v>22</v>
      </c>
      <c r="C210">
        <v>78</v>
      </c>
      <c r="D210">
        <v>170</v>
      </c>
      <c r="E210" t="s">
        <v>5</v>
      </c>
      <c r="F210" s="3">
        <v>413</v>
      </c>
      <c r="G210">
        <f>432-52</f>
        <v>380</v>
      </c>
      <c r="I210">
        <f>(F210-G210)/F210</f>
        <v>7.990314769975787E-2</v>
      </c>
      <c r="J210" s="6" t="s">
        <v>13</v>
      </c>
    </row>
    <row r="211" spans="1:10" x14ac:dyDescent="0.35">
      <c r="A211">
        <v>210</v>
      </c>
      <c r="B211">
        <v>22</v>
      </c>
      <c r="C211">
        <v>78</v>
      </c>
      <c r="D211">
        <v>170</v>
      </c>
      <c r="E211" t="s">
        <v>5</v>
      </c>
      <c r="F211" s="3">
        <v>429</v>
      </c>
      <c r="G211">
        <f>428-19</f>
        <v>409</v>
      </c>
      <c r="I211">
        <f>(F211-G211)/F211</f>
        <v>4.6620046620046623E-2</v>
      </c>
      <c r="J211" s="6" t="s">
        <v>13</v>
      </c>
    </row>
    <row r="212" spans="1:10" x14ac:dyDescent="0.35">
      <c r="A212">
        <v>211</v>
      </c>
      <c r="B212">
        <v>22</v>
      </c>
      <c r="C212">
        <v>78</v>
      </c>
      <c r="D212">
        <v>170</v>
      </c>
      <c r="E212" t="s">
        <v>5</v>
      </c>
      <c r="F212" s="3">
        <v>378</v>
      </c>
      <c r="G212">
        <f>947-559</f>
        <v>388</v>
      </c>
      <c r="I212">
        <f>(F212-G212)/F212</f>
        <v>-2.6455026455026454E-2</v>
      </c>
      <c r="J212" s="6" t="s">
        <v>13</v>
      </c>
    </row>
    <row r="213" spans="1:10" x14ac:dyDescent="0.35">
      <c r="A213">
        <v>212</v>
      </c>
      <c r="B213">
        <v>22</v>
      </c>
      <c r="C213">
        <v>78</v>
      </c>
      <c r="D213">
        <v>170</v>
      </c>
      <c r="E213" t="s">
        <v>5</v>
      </c>
      <c r="F213" s="3">
        <v>395</v>
      </c>
      <c r="G213">
        <f>754-367</f>
        <v>387</v>
      </c>
      <c r="I213">
        <f>(F213-G213)/F213</f>
        <v>2.0253164556962026E-2</v>
      </c>
      <c r="J213" s="6" t="s">
        <v>13</v>
      </c>
    </row>
    <row r="214" spans="1:10" x14ac:dyDescent="0.35">
      <c r="A214">
        <v>213</v>
      </c>
      <c r="B214">
        <v>22</v>
      </c>
      <c r="C214">
        <v>78</v>
      </c>
      <c r="D214">
        <v>170</v>
      </c>
      <c r="E214" t="s">
        <v>5</v>
      </c>
      <c r="F214" s="3">
        <v>397</v>
      </c>
      <c r="G214">
        <f>344-0</f>
        <v>344</v>
      </c>
      <c r="I214">
        <f>(F214-G214)/F214</f>
        <v>0.13350125944584382</v>
      </c>
      <c r="J214" s="6" t="s">
        <v>13</v>
      </c>
    </row>
    <row r="215" spans="1:10" x14ac:dyDescent="0.35">
      <c r="A215">
        <v>214</v>
      </c>
      <c r="B215">
        <v>22</v>
      </c>
      <c r="C215">
        <v>78</v>
      </c>
      <c r="D215">
        <v>170</v>
      </c>
      <c r="E215" t="s">
        <v>5</v>
      </c>
      <c r="F215" s="3">
        <v>414</v>
      </c>
      <c r="G215">
        <f>1054-656</f>
        <v>398</v>
      </c>
      <c r="I215">
        <f>(F215-G215)/F215</f>
        <v>3.864734299516908E-2</v>
      </c>
      <c r="J215" s="6" t="s">
        <v>13</v>
      </c>
    </row>
    <row r="216" spans="1:10" x14ac:dyDescent="0.35">
      <c r="A216">
        <v>215</v>
      </c>
      <c r="B216">
        <v>22</v>
      </c>
      <c r="C216">
        <v>78</v>
      </c>
      <c r="D216">
        <v>170</v>
      </c>
      <c r="E216" t="s">
        <v>5</v>
      </c>
      <c r="F216" s="3">
        <v>379</v>
      </c>
      <c r="G216">
        <f>498-105</f>
        <v>393</v>
      </c>
      <c r="I216">
        <f>(F216-G216)/F216</f>
        <v>-3.6939313984168866E-2</v>
      </c>
      <c r="J216" s="6" t="s">
        <v>13</v>
      </c>
    </row>
    <row r="217" spans="1:10" x14ac:dyDescent="0.35">
      <c r="A217">
        <v>216</v>
      </c>
      <c r="B217">
        <v>22</v>
      </c>
      <c r="C217">
        <v>78</v>
      </c>
      <c r="D217">
        <v>170</v>
      </c>
      <c r="E217" t="s">
        <v>5</v>
      </c>
      <c r="F217" s="3">
        <v>344</v>
      </c>
      <c r="G217">
        <f>647-261</f>
        <v>386</v>
      </c>
      <c r="I217">
        <f>(F217-G217)/F217</f>
        <v>-0.12209302325581395</v>
      </c>
      <c r="J217" s="6" t="s">
        <v>13</v>
      </c>
    </row>
    <row r="218" spans="1:10" x14ac:dyDescent="0.35">
      <c r="A218">
        <v>217</v>
      </c>
      <c r="B218">
        <v>22</v>
      </c>
      <c r="C218">
        <v>78</v>
      </c>
      <c r="D218">
        <v>170</v>
      </c>
      <c r="E218" t="s">
        <v>5</v>
      </c>
      <c r="F218" s="3">
        <v>331</v>
      </c>
      <c r="G218">
        <f>825-477</f>
        <v>348</v>
      </c>
      <c r="I218">
        <f>(F218-G218)/F218</f>
        <v>-5.1359516616314202E-2</v>
      </c>
      <c r="J218" s="6" t="s">
        <v>13</v>
      </c>
    </row>
    <row r="219" spans="1:10" x14ac:dyDescent="0.35">
      <c r="A219">
        <v>218</v>
      </c>
      <c r="B219">
        <v>22</v>
      </c>
      <c r="C219">
        <v>78</v>
      </c>
      <c r="D219">
        <v>170</v>
      </c>
      <c r="E219" t="s">
        <v>5</v>
      </c>
      <c r="F219" s="3">
        <v>405</v>
      </c>
      <c r="G219">
        <f>748-349</f>
        <v>399</v>
      </c>
      <c r="I219">
        <f>(F219-G219)/F219</f>
        <v>1.4814814814814815E-2</v>
      </c>
      <c r="J219" s="6" t="s">
        <v>13</v>
      </c>
    </row>
    <row r="220" spans="1:10" x14ac:dyDescent="0.35">
      <c r="A220">
        <v>219</v>
      </c>
      <c r="B220">
        <v>22</v>
      </c>
      <c r="C220">
        <v>78</v>
      </c>
      <c r="D220">
        <v>170</v>
      </c>
      <c r="E220" t="s">
        <v>5</v>
      </c>
      <c r="F220" s="3">
        <v>380</v>
      </c>
      <c r="G220">
        <f>1434-1068</f>
        <v>366</v>
      </c>
      <c r="I220">
        <f>(F220-G220)/F220</f>
        <v>3.6842105263157891E-2</v>
      </c>
      <c r="J220" s="6" t="s">
        <v>13</v>
      </c>
    </row>
    <row r="221" spans="1:10" x14ac:dyDescent="0.35">
      <c r="A221">
        <v>220</v>
      </c>
      <c r="B221">
        <v>22</v>
      </c>
      <c r="C221">
        <v>78</v>
      </c>
      <c r="D221">
        <v>170</v>
      </c>
      <c r="E221" t="s">
        <v>5</v>
      </c>
      <c r="F221" s="3">
        <v>396</v>
      </c>
      <c r="G221">
        <f>1501-1101</f>
        <v>400</v>
      </c>
      <c r="I221">
        <f>(F221-G221)/F221</f>
        <v>-1.0101010101010102E-2</v>
      </c>
      <c r="J221" s="6" t="s">
        <v>13</v>
      </c>
    </row>
    <row r="222" spans="1:10" x14ac:dyDescent="0.35">
      <c r="A222">
        <v>221</v>
      </c>
      <c r="B222">
        <v>22</v>
      </c>
      <c r="C222">
        <v>78</v>
      </c>
      <c r="D222">
        <v>170</v>
      </c>
      <c r="E222" t="s">
        <v>5</v>
      </c>
      <c r="F222" s="3">
        <v>412</v>
      </c>
      <c r="G222">
        <f>761-363</f>
        <v>398</v>
      </c>
      <c r="I222">
        <f>(F222-G222)/F222</f>
        <v>3.3980582524271843E-2</v>
      </c>
      <c r="J222" s="6" t="s">
        <v>13</v>
      </c>
    </row>
    <row r="223" spans="1:10" x14ac:dyDescent="0.35">
      <c r="A223">
        <v>222</v>
      </c>
      <c r="B223">
        <v>22</v>
      </c>
      <c r="C223">
        <v>78</v>
      </c>
      <c r="D223">
        <v>170</v>
      </c>
      <c r="E223" t="s">
        <v>5</v>
      </c>
      <c r="F223" s="3">
        <v>412</v>
      </c>
      <c r="G223">
        <f>409-0</f>
        <v>409</v>
      </c>
      <c r="I223">
        <f>(F223-G223)/F223</f>
        <v>7.2815533980582527E-3</v>
      </c>
      <c r="J223" s="6" t="s">
        <v>13</v>
      </c>
    </row>
    <row r="224" spans="1:10" x14ac:dyDescent="0.35">
      <c r="A224">
        <v>223</v>
      </c>
      <c r="B224">
        <v>22</v>
      </c>
      <c r="C224">
        <v>78</v>
      </c>
      <c r="D224">
        <v>170</v>
      </c>
      <c r="E224" t="s">
        <v>5</v>
      </c>
      <c r="F224" s="3">
        <v>381</v>
      </c>
      <c r="G224">
        <f>1034-697</f>
        <v>337</v>
      </c>
      <c r="I224">
        <f>(F224-G224)/F224</f>
        <v>0.11548556430446194</v>
      </c>
      <c r="J224" s="6" t="s">
        <v>13</v>
      </c>
    </row>
    <row r="225" spans="1:10" x14ac:dyDescent="0.35">
      <c r="A225">
        <v>224</v>
      </c>
      <c r="B225">
        <v>22</v>
      </c>
      <c r="C225">
        <v>78</v>
      </c>
      <c r="D225">
        <v>170</v>
      </c>
      <c r="E225" t="s">
        <v>5</v>
      </c>
      <c r="F225" s="3">
        <v>381</v>
      </c>
      <c r="G225">
        <f>349-0</f>
        <v>349</v>
      </c>
      <c r="I225">
        <f>(F225-G225)/F225</f>
        <v>8.3989501312335957E-2</v>
      </c>
      <c r="J225" s="6" t="s">
        <v>13</v>
      </c>
    </row>
    <row r="226" spans="1:10" x14ac:dyDescent="0.35">
      <c r="A226">
        <v>225</v>
      </c>
      <c r="B226">
        <v>22</v>
      </c>
      <c r="C226">
        <v>78</v>
      </c>
      <c r="D226">
        <v>170</v>
      </c>
      <c r="E226" t="s">
        <v>5</v>
      </c>
      <c r="F226" s="3">
        <v>396</v>
      </c>
      <c r="G226">
        <f>336-0</f>
        <v>336</v>
      </c>
      <c r="I226">
        <f>(F226-G226)/F226</f>
        <v>0.15151515151515152</v>
      </c>
      <c r="J226" s="6" t="s">
        <v>13</v>
      </c>
    </row>
    <row r="227" spans="1:10" x14ac:dyDescent="0.35">
      <c r="A227">
        <v>226</v>
      </c>
      <c r="B227">
        <v>22</v>
      </c>
      <c r="C227">
        <v>78</v>
      </c>
      <c r="D227">
        <v>170</v>
      </c>
      <c r="E227" t="s">
        <v>5</v>
      </c>
      <c r="F227" s="3">
        <v>397</v>
      </c>
      <c r="G227">
        <f>555-159</f>
        <v>396</v>
      </c>
      <c r="I227">
        <f>(F227-G227)/F227</f>
        <v>2.5188916876574307E-3</v>
      </c>
      <c r="J227" s="6" t="s">
        <v>13</v>
      </c>
    </row>
    <row r="228" spans="1:10" x14ac:dyDescent="0.35">
      <c r="A228">
        <v>227</v>
      </c>
      <c r="B228">
        <v>22</v>
      </c>
      <c r="C228">
        <v>78</v>
      </c>
      <c r="D228">
        <v>170</v>
      </c>
      <c r="E228" t="s">
        <v>5</v>
      </c>
      <c r="F228" s="3">
        <v>378</v>
      </c>
      <c r="G228">
        <f>945-569</f>
        <v>376</v>
      </c>
      <c r="I228">
        <f>(F228-G228)/F228</f>
        <v>5.2910052910052907E-3</v>
      </c>
      <c r="J228" s="6" t="s">
        <v>13</v>
      </c>
    </row>
    <row r="229" spans="1:10" x14ac:dyDescent="0.35">
      <c r="A229">
        <v>228</v>
      </c>
      <c r="B229">
        <v>22</v>
      </c>
      <c r="C229">
        <v>78</v>
      </c>
      <c r="D229">
        <v>170</v>
      </c>
      <c r="E229" t="s">
        <v>5</v>
      </c>
      <c r="F229" s="3">
        <v>758</v>
      </c>
      <c r="G229">
        <f>366-0</f>
        <v>366</v>
      </c>
      <c r="I229">
        <f>(F229-G229)/F229</f>
        <v>0.51715039577836408</v>
      </c>
      <c r="J229" s="6" t="s">
        <v>13</v>
      </c>
    </row>
    <row r="230" spans="1:10" x14ac:dyDescent="0.35">
      <c r="A230">
        <v>229</v>
      </c>
      <c r="B230">
        <v>22</v>
      </c>
      <c r="C230">
        <v>78</v>
      </c>
      <c r="D230">
        <v>170</v>
      </c>
      <c r="E230" t="s">
        <v>5</v>
      </c>
      <c r="F230" s="3">
        <v>413</v>
      </c>
      <c r="G230">
        <f>896-544</f>
        <v>352</v>
      </c>
      <c r="I230">
        <f>(F230-G230)/F230</f>
        <v>0.14769975786924938</v>
      </c>
      <c r="J230" s="6" t="s">
        <v>13</v>
      </c>
    </row>
    <row r="231" spans="1:10" x14ac:dyDescent="0.35">
      <c r="A231">
        <v>230</v>
      </c>
      <c r="B231">
        <v>22</v>
      </c>
      <c r="C231">
        <v>78</v>
      </c>
      <c r="D231">
        <v>170</v>
      </c>
      <c r="E231" t="s">
        <v>5</v>
      </c>
      <c r="F231" s="3">
        <v>428</v>
      </c>
      <c r="G231">
        <f>662-273</f>
        <v>389</v>
      </c>
      <c r="I231">
        <f>(F231-G231)/F231</f>
        <v>9.11214953271028E-2</v>
      </c>
      <c r="J231" s="6" t="s">
        <v>13</v>
      </c>
    </row>
    <row r="232" spans="1:10" x14ac:dyDescent="0.35">
      <c r="A232">
        <v>231</v>
      </c>
      <c r="B232">
        <v>22</v>
      </c>
      <c r="C232">
        <v>78</v>
      </c>
      <c r="D232">
        <v>170</v>
      </c>
      <c r="E232" t="s">
        <v>5</v>
      </c>
      <c r="F232" s="3">
        <v>381</v>
      </c>
      <c r="G232">
        <f>1038-653</f>
        <v>385</v>
      </c>
      <c r="I232">
        <f>(F232-G232)/F232</f>
        <v>-1.0498687664041995E-2</v>
      </c>
      <c r="J232" s="6" t="s">
        <v>13</v>
      </c>
    </row>
    <row r="233" spans="1:10" x14ac:dyDescent="0.35">
      <c r="A233">
        <v>232</v>
      </c>
      <c r="B233">
        <v>22</v>
      </c>
      <c r="C233">
        <v>78</v>
      </c>
      <c r="D233">
        <v>170</v>
      </c>
      <c r="E233" t="s">
        <v>5</v>
      </c>
      <c r="F233" s="3">
        <v>411</v>
      </c>
      <c r="G233">
        <f>1166-765</f>
        <v>401</v>
      </c>
      <c r="I233">
        <f>(F233-G233)/F233</f>
        <v>2.4330900243309004E-2</v>
      </c>
      <c r="J233" s="6" t="s">
        <v>13</v>
      </c>
    </row>
    <row r="234" spans="1:10" x14ac:dyDescent="0.35">
      <c r="A234">
        <v>233</v>
      </c>
      <c r="B234">
        <v>22</v>
      </c>
      <c r="C234">
        <v>78</v>
      </c>
      <c r="D234">
        <v>170</v>
      </c>
      <c r="E234" t="s">
        <v>5</v>
      </c>
      <c r="F234" s="3">
        <v>380</v>
      </c>
      <c r="G234">
        <f>972-567</f>
        <v>405</v>
      </c>
      <c r="I234">
        <f>(F234-G234)/F234</f>
        <v>-6.5789473684210523E-2</v>
      </c>
      <c r="J234" s="6" t="s">
        <v>13</v>
      </c>
    </row>
    <row r="235" spans="1:10" x14ac:dyDescent="0.35">
      <c r="A235">
        <v>234</v>
      </c>
      <c r="B235">
        <v>22</v>
      </c>
      <c r="C235">
        <v>78</v>
      </c>
      <c r="D235">
        <v>170</v>
      </c>
      <c r="E235" t="s">
        <v>5</v>
      </c>
      <c r="F235" s="3">
        <v>395</v>
      </c>
      <c r="G235">
        <f>354-0</f>
        <v>354</v>
      </c>
      <c r="I235">
        <f>(F235-G235)/F235</f>
        <v>0.10379746835443038</v>
      </c>
      <c r="J235" s="6" t="s">
        <v>13</v>
      </c>
    </row>
    <row r="236" spans="1:10" x14ac:dyDescent="0.35">
      <c r="A236">
        <v>235</v>
      </c>
      <c r="B236">
        <v>22</v>
      </c>
      <c r="C236">
        <v>78</v>
      </c>
      <c r="D236">
        <v>170</v>
      </c>
      <c r="E236" t="s">
        <v>5</v>
      </c>
      <c r="F236" s="3">
        <v>396</v>
      </c>
      <c r="G236">
        <f>1046-639</f>
        <v>407</v>
      </c>
      <c r="I236">
        <f>(F236-G236)/F236</f>
        <v>-2.7777777777777776E-2</v>
      </c>
      <c r="J236" s="6" t="s">
        <v>13</v>
      </c>
    </row>
    <row r="237" spans="1:10" x14ac:dyDescent="0.35">
      <c r="A237">
        <v>236</v>
      </c>
      <c r="B237">
        <v>22</v>
      </c>
      <c r="C237">
        <v>78</v>
      </c>
      <c r="D237">
        <v>170</v>
      </c>
      <c r="E237" t="s">
        <v>5</v>
      </c>
      <c r="F237" s="3">
        <v>396</v>
      </c>
      <c r="G237">
        <f>567-188</f>
        <v>379</v>
      </c>
      <c r="I237">
        <f>(F237-G237)/F237</f>
        <v>4.2929292929292928E-2</v>
      </c>
      <c r="J237" s="6" t="s">
        <v>13</v>
      </c>
    </row>
    <row r="238" spans="1:10" x14ac:dyDescent="0.35">
      <c r="A238">
        <v>237</v>
      </c>
      <c r="B238">
        <v>22</v>
      </c>
      <c r="C238">
        <v>78</v>
      </c>
      <c r="D238">
        <v>170</v>
      </c>
      <c r="E238" t="s">
        <v>5</v>
      </c>
      <c r="F238" s="3">
        <v>379</v>
      </c>
      <c r="G238">
        <f>1218-842</f>
        <v>376</v>
      </c>
      <c r="I238">
        <f>(F238-G238)/F238</f>
        <v>7.9155672823219003E-3</v>
      </c>
      <c r="J238" s="6" t="s">
        <v>13</v>
      </c>
    </row>
    <row r="239" spans="1:10" x14ac:dyDescent="0.35">
      <c r="A239">
        <v>238</v>
      </c>
      <c r="B239">
        <v>22</v>
      </c>
      <c r="C239">
        <v>78</v>
      </c>
      <c r="D239">
        <v>170</v>
      </c>
      <c r="E239" t="s">
        <v>5</v>
      </c>
      <c r="F239" s="3">
        <v>412</v>
      </c>
      <c r="G239">
        <f>412-28</f>
        <v>384</v>
      </c>
      <c r="I239">
        <f>(F239-G239)/F239</f>
        <v>6.7961165048543687E-2</v>
      </c>
      <c r="J239" s="6" t="s">
        <v>13</v>
      </c>
    </row>
    <row r="240" spans="1:10" x14ac:dyDescent="0.35">
      <c r="A240">
        <v>239</v>
      </c>
      <c r="B240">
        <v>22</v>
      </c>
      <c r="C240">
        <v>78</v>
      </c>
      <c r="D240">
        <v>170</v>
      </c>
      <c r="E240" t="s">
        <v>5</v>
      </c>
      <c r="F240" s="3">
        <v>429</v>
      </c>
      <c r="G240">
        <f>397-0</f>
        <v>397</v>
      </c>
      <c r="I240">
        <f>(F240-G240)/F240</f>
        <v>7.4592074592074592E-2</v>
      </c>
      <c r="J240" s="6" t="s">
        <v>13</v>
      </c>
    </row>
    <row r="241" spans="1:10" x14ac:dyDescent="0.35">
      <c r="A241">
        <v>240</v>
      </c>
      <c r="B241">
        <v>22</v>
      </c>
      <c r="C241">
        <v>78</v>
      </c>
      <c r="D241">
        <v>170</v>
      </c>
      <c r="E241" t="s">
        <v>5</v>
      </c>
      <c r="F241" s="3">
        <v>346</v>
      </c>
      <c r="G241">
        <f>532-137</f>
        <v>395</v>
      </c>
      <c r="I241">
        <f>(F241-G241)/F241</f>
        <v>-0.1416184971098266</v>
      </c>
      <c r="J241" s="6" t="s">
        <v>13</v>
      </c>
    </row>
    <row r="242" spans="1:10" x14ac:dyDescent="0.35">
      <c r="A242">
        <v>241</v>
      </c>
      <c r="B242">
        <v>22</v>
      </c>
      <c r="C242">
        <v>78</v>
      </c>
      <c r="D242">
        <v>170</v>
      </c>
      <c r="E242" t="s">
        <v>5</v>
      </c>
      <c r="F242" s="3">
        <v>412</v>
      </c>
      <c r="G242">
        <f>599-224</f>
        <v>375</v>
      </c>
      <c r="I242">
        <f>(F242-G242)/F242</f>
        <v>8.9805825242718448E-2</v>
      </c>
      <c r="J242" s="6" t="s">
        <v>13</v>
      </c>
    </row>
    <row r="243" spans="1:10" x14ac:dyDescent="0.35">
      <c r="A243">
        <v>242</v>
      </c>
      <c r="B243">
        <v>22</v>
      </c>
      <c r="C243">
        <v>78</v>
      </c>
      <c r="D243">
        <v>170</v>
      </c>
      <c r="E243" t="s">
        <v>5</v>
      </c>
      <c r="F243" s="3">
        <v>413</v>
      </c>
      <c r="G243">
        <f>451-64</f>
        <v>387</v>
      </c>
      <c r="I243">
        <f>(F243-G243)/F243</f>
        <v>6.2953995157384993E-2</v>
      </c>
      <c r="J243" s="6" t="s">
        <v>13</v>
      </c>
    </row>
    <row r="244" spans="1:10" x14ac:dyDescent="0.35">
      <c r="A244">
        <v>243</v>
      </c>
      <c r="B244">
        <v>22</v>
      </c>
      <c r="C244">
        <v>78</v>
      </c>
      <c r="D244">
        <v>170</v>
      </c>
      <c r="E244" t="s">
        <v>5</v>
      </c>
      <c r="F244" s="3">
        <v>396</v>
      </c>
      <c r="G244">
        <f>709-345</f>
        <v>364</v>
      </c>
      <c r="I244">
        <f>(F244-G244)/F244</f>
        <v>8.0808080808080815E-2</v>
      </c>
      <c r="J244" s="6" t="s">
        <v>13</v>
      </c>
    </row>
    <row r="245" spans="1:10" x14ac:dyDescent="0.35">
      <c r="A245">
        <v>244</v>
      </c>
      <c r="B245">
        <v>22</v>
      </c>
      <c r="C245">
        <v>78</v>
      </c>
      <c r="D245">
        <v>170</v>
      </c>
      <c r="E245" t="s">
        <v>5</v>
      </c>
      <c r="F245" s="3">
        <v>411</v>
      </c>
      <c r="G245">
        <f>385-0</f>
        <v>385</v>
      </c>
      <c r="I245">
        <f>(F245-G245)/F245</f>
        <v>6.3260340632603412E-2</v>
      </c>
      <c r="J245" s="6" t="s">
        <v>13</v>
      </c>
    </row>
    <row r="246" spans="1:10" x14ac:dyDescent="0.35">
      <c r="A246">
        <v>245</v>
      </c>
      <c r="B246">
        <v>22</v>
      </c>
      <c r="C246">
        <v>78</v>
      </c>
      <c r="D246">
        <v>170</v>
      </c>
      <c r="E246" t="s">
        <v>5</v>
      </c>
      <c r="F246" s="3">
        <v>348</v>
      </c>
      <c r="G246">
        <f>853-507</f>
        <v>346</v>
      </c>
      <c r="I246">
        <f>(F246-G246)/F246</f>
        <v>5.7471264367816091E-3</v>
      </c>
      <c r="J246" s="6" t="s">
        <v>13</v>
      </c>
    </row>
    <row r="247" spans="1:10" x14ac:dyDescent="0.35">
      <c r="A247">
        <v>246</v>
      </c>
      <c r="B247">
        <v>22</v>
      </c>
      <c r="C247">
        <v>78</v>
      </c>
      <c r="D247">
        <v>170</v>
      </c>
      <c r="E247" t="s">
        <v>5</v>
      </c>
      <c r="F247" s="3">
        <v>364</v>
      </c>
      <c r="G247">
        <f>807-433</f>
        <v>374</v>
      </c>
      <c r="I247">
        <f>(F247-G247)/F247</f>
        <v>-2.7472527472527472E-2</v>
      </c>
      <c r="J247" s="6" t="s">
        <v>13</v>
      </c>
    </row>
    <row r="248" spans="1:10" x14ac:dyDescent="0.35">
      <c r="A248">
        <v>247</v>
      </c>
      <c r="B248">
        <v>22</v>
      </c>
      <c r="C248">
        <v>78</v>
      </c>
      <c r="D248">
        <v>170</v>
      </c>
      <c r="E248" t="s">
        <v>5</v>
      </c>
      <c r="F248" s="3">
        <v>380</v>
      </c>
      <c r="G248">
        <f>394-0</f>
        <v>394</v>
      </c>
      <c r="I248">
        <f>(F248-G248)/F248</f>
        <v>-3.6842105263157891E-2</v>
      </c>
      <c r="J248" s="6" t="s">
        <v>13</v>
      </c>
    </row>
    <row r="249" spans="1:10" x14ac:dyDescent="0.35">
      <c r="A249">
        <v>248</v>
      </c>
      <c r="B249">
        <v>22</v>
      </c>
      <c r="C249">
        <v>78</v>
      </c>
      <c r="D249">
        <v>170</v>
      </c>
      <c r="E249" t="s">
        <v>5</v>
      </c>
      <c r="F249" s="3">
        <v>381</v>
      </c>
      <c r="G249">
        <f>718-338</f>
        <v>380</v>
      </c>
      <c r="I249">
        <f>(F249-G249)/F249</f>
        <v>2.6246719160104987E-3</v>
      </c>
      <c r="J249" s="6" t="s">
        <v>13</v>
      </c>
    </row>
    <row r="250" spans="1:10" x14ac:dyDescent="0.35">
      <c r="A250">
        <v>249</v>
      </c>
      <c r="B250">
        <v>22</v>
      </c>
      <c r="C250">
        <v>78</v>
      </c>
      <c r="D250">
        <v>170</v>
      </c>
      <c r="E250" t="s">
        <v>5</v>
      </c>
      <c r="F250" s="3">
        <v>413</v>
      </c>
      <c r="G250">
        <f>866-500</f>
        <v>366</v>
      </c>
      <c r="I250">
        <f>(F250-G250)/F250</f>
        <v>0.11380145278450363</v>
      </c>
      <c r="J250" s="6" t="s">
        <v>13</v>
      </c>
    </row>
    <row r="251" spans="1:10" x14ac:dyDescent="0.35">
      <c r="A251">
        <v>250</v>
      </c>
      <c r="B251">
        <v>22</v>
      </c>
      <c r="C251">
        <v>78</v>
      </c>
      <c r="D251">
        <v>170</v>
      </c>
      <c r="E251" t="s">
        <v>5</v>
      </c>
      <c r="F251" s="3">
        <v>397</v>
      </c>
      <c r="G251">
        <f>1095-670</f>
        <v>425</v>
      </c>
      <c r="I251">
        <f>(F251-G251)/F251</f>
        <v>-7.0528967254408062E-2</v>
      </c>
      <c r="J251" s="6" t="s">
        <v>13</v>
      </c>
    </row>
    <row r="252" spans="1:10" x14ac:dyDescent="0.35">
      <c r="A252">
        <v>251</v>
      </c>
      <c r="B252">
        <v>22</v>
      </c>
      <c r="C252">
        <v>78</v>
      </c>
      <c r="D252">
        <v>170</v>
      </c>
      <c r="E252" t="s">
        <v>5</v>
      </c>
      <c r="F252" s="3">
        <v>381</v>
      </c>
      <c r="G252">
        <f>1436-1046</f>
        <v>390</v>
      </c>
      <c r="I252">
        <f>(F252-G252)/F252</f>
        <v>-2.3622047244094488E-2</v>
      </c>
      <c r="J252" s="6" t="s">
        <v>13</v>
      </c>
    </row>
    <row r="253" spans="1:10" x14ac:dyDescent="0.35">
      <c r="A253">
        <v>252</v>
      </c>
      <c r="B253">
        <v>22</v>
      </c>
      <c r="C253">
        <v>78</v>
      </c>
      <c r="D253">
        <v>170</v>
      </c>
      <c r="E253" t="s">
        <v>5</v>
      </c>
      <c r="F253" s="3">
        <v>380</v>
      </c>
      <c r="G253">
        <f>547-149</f>
        <v>398</v>
      </c>
      <c r="I253">
        <f>(F253-G253)/F253</f>
        <v>-4.736842105263158E-2</v>
      </c>
      <c r="J253" s="6" t="s">
        <v>13</v>
      </c>
    </row>
    <row r="254" spans="1:10" x14ac:dyDescent="0.35">
      <c r="A254">
        <v>253</v>
      </c>
      <c r="B254">
        <v>22</v>
      </c>
      <c r="C254">
        <v>78</v>
      </c>
      <c r="D254">
        <v>170</v>
      </c>
      <c r="E254" t="s">
        <v>5</v>
      </c>
      <c r="F254" s="3">
        <v>380</v>
      </c>
      <c r="G254">
        <f>543-200</f>
        <v>343</v>
      </c>
      <c r="I254">
        <f>(F254-G254)/F254</f>
        <v>9.7368421052631576E-2</v>
      </c>
      <c r="J254" s="6" t="s">
        <v>13</v>
      </c>
    </row>
    <row r="255" spans="1:10" x14ac:dyDescent="0.35">
      <c r="A255">
        <v>254</v>
      </c>
      <c r="B255">
        <v>22</v>
      </c>
      <c r="C255">
        <v>78</v>
      </c>
      <c r="D255">
        <v>170</v>
      </c>
      <c r="E255" t="s">
        <v>5</v>
      </c>
      <c r="F255" s="3">
        <v>414</v>
      </c>
      <c r="G255">
        <f>443-38</f>
        <v>405</v>
      </c>
      <c r="I255">
        <f>(F255-G255)/F255</f>
        <v>2.1739130434782608E-2</v>
      </c>
      <c r="J255" s="6" t="s">
        <v>13</v>
      </c>
    </row>
    <row r="256" spans="1:10" x14ac:dyDescent="0.35">
      <c r="A256">
        <v>255</v>
      </c>
      <c r="B256">
        <v>22</v>
      </c>
      <c r="C256">
        <v>78</v>
      </c>
      <c r="D256">
        <v>170</v>
      </c>
      <c r="E256" t="s">
        <v>5</v>
      </c>
      <c r="F256" s="3">
        <v>427</v>
      </c>
      <c r="G256">
        <f>1155-724</f>
        <v>431</v>
      </c>
      <c r="I256">
        <f>(F256-G256)/F256</f>
        <v>-9.3676814988290398E-3</v>
      </c>
      <c r="J256" s="6" t="s">
        <v>13</v>
      </c>
    </row>
    <row r="257" spans="1:10" x14ac:dyDescent="0.35">
      <c r="A257">
        <v>256</v>
      </c>
      <c r="B257">
        <v>22</v>
      </c>
      <c r="C257">
        <v>78</v>
      </c>
      <c r="D257">
        <v>170</v>
      </c>
      <c r="E257" t="s">
        <v>5</v>
      </c>
      <c r="F257" s="3">
        <v>412</v>
      </c>
      <c r="G257">
        <f>982-592</f>
        <v>390</v>
      </c>
      <c r="I257">
        <f>(F257-G257)/F257</f>
        <v>5.3398058252427182E-2</v>
      </c>
      <c r="J257" s="6" t="s">
        <v>13</v>
      </c>
    </row>
    <row r="258" spans="1:10" x14ac:dyDescent="0.35">
      <c r="A258">
        <v>257</v>
      </c>
      <c r="B258">
        <v>22</v>
      </c>
      <c r="C258">
        <v>78</v>
      </c>
      <c r="D258">
        <v>170</v>
      </c>
      <c r="E258" t="s">
        <v>5</v>
      </c>
      <c r="F258" s="3">
        <v>397</v>
      </c>
      <c r="G258">
        <f>688-268</f>
        <v>420</v>
      </c>
      <c r="I258">
        <f>(F258-G258)/F258</f>
        <v>-5.793450881612091E-2</v>
      </c>
      <c r="J258" s="6" t="s">
        <v>13</v>
      </c>
    </row>
    <row r="259" spans="1:10" x14ac:dyDescent="0.35">
      <c r="A259">
        <v>258</v>
      </c>
      <c r="B259">
        <v>22</v>
      </c>
      <c r="C259">
        <v>78</v>
      </c>
      <c r="D259">
        <v>170</v>
      </c>
      <c r="E259" t="s">
        <v>5</v>
      </c>
      <c r="F259" s="3">
        <v>380</v>
      </c>
      <c r="G259">
        <f>584-200</f>
        <v>384</v>
      </c>
      <c r="I259">
        <f>(F259-G259)/F259</f>
        <v>-1.0526315789473684E-2</v>
      </c>
      <c r="J259" s="6" t="s">
        <v>13</v>
      </c>
    </row>
    <row r="260" spans="1:10" x14ac:dyDescent="0.35">
      <c r="A260">
        <v>259</v>
      </c>
      <c r="B260">
        <v>22</v>
      </c>
      <c r="C260">
        <v>78</v>
      </c>
      <c r="D260">
        <v>170</v>
      </c>
      <c r="E260" t="s">
        <v>5</v>
      </c>
      <c r="F260" s="3">
        <v>380</v>
      </c>
      <c r="G260">
        <f>969-548</f>
        <v>421</v>
      </c>
      <c r="I260">
        <f>(F260-G260)/F260</f>
        <v>-0.10789473684210527</v>
      </c>
      <c r="J260" s="6" t="s">
        <v>13</v>
      </c>
    </row>
    <row r="261" spans="1:10" x14ac:dyDescent="0.35">
      <c r="A261">
        <v>260</v>
      </c>
      <c r="B261">
        <v>22</v>
      </c>
      <c r="C261">
        <v>78</v>
      </c>
      <c r="D261">
        <v>170</v>
      </c>
      <c r="E261" t="s">
        <v>5</v>
      </c>
      <c r="F261" s="3">
        <v>412</v>
      </c>
      <c r="G261">
        <f>354-0</f>
        <v>354</v>
      </c>
      <c r="I261">
        <f>(F261-G261)/F261</f>
        <v>0.14077669902912621</v>
      </c>
      <c r="J261" s="6" t="s">
        <v>13</v>
      </c>
    </row>
    <row r="262" spans="1:10" x14ac:dyDescent="0.35">
      <c r="A262">
        <v>261</v>
      </c>
      <c r="B262">
        <v>22</v>
      </c>
      <c r="C262">
        <v>78</v>
      </c>
      <c r="D262">
        <v>170</v>
      </c>
      <c r="E262" t="s">
        <v>5</v>
      </c>
      <c r="F262" s="3">
        <v>348</v>
      </c>
      <c r="G262">
        <f>837-450</f>
        <v>387</v>
      </c>
      <c r="I262">
        <f>(F262-G262)/F262</f>
        <v>-0.11206896551724138</v>
      </c>
      <c r="J262" s="6" t="s">
        <v>13</v>
      </c>
    </row>
    <row r="263" spans="1:10" x14ac:dyDescent="0.35">
      <c r="A263">
        <v>262</v>
      </c>
      <c r="B263">
        <v>22</v>
      </c>
      <c r="C263">
        <v>78</v>
      </c>
      <c r="D263">
        <v>170</v>
      </c>
      <c r="E263" t="s">
        <v>5</v>
      </c>
      <c r="F263" s="3">
        <v>396</v>
      </c>
      <c r="G263">
        <f>426-56</f>
        <v>370</v>
      </c>
      <c r="I263">
        <f>(F263-G263)/F263</f>
        <v>6.5656565656565663E-2</v>
      </c>
      <c r="J263" s="6" t="s">
        <v>13</v>
      </c>
    </row>
    <row r="264" spans="1:10" x14ac:dyDescent="0.35">
      <c r="A264">
        <v>263</v>
      </c>
      <c r="B264">
        <v>22</v>
      </c>
      <c r="C264">
        <v>78</v>
      </c>
      <c r="D264">
        <v>170</v>
      </c>
      <c r="E264" t="s">
        <v>5</v>
      </c>
      <c r="F264" s="3">
        <v>461</v>
      </c>
      <c r="G264">
        <f>402-0</f>
        <v>402</v>
      </c>
      <c r="I264">
        <f>(F264-G264)/F264</f>
        <v>0.1279826464208243</v>
      </c>
      <c r="J264" s="6" t="s">
        <v>13</v>
      </c>
    </row>
    <row r="265" spans="1:10" x14ac:dyDescent="0.35">
      <c r="A265">
        <v>264</v>
      </c>
      <c r="B265">
        <v>22</v>
      </c>
      <c r="C265">
        <v>78</v>
      </c>
      <c r="D265">
        <v>170</v>
      </c>
      <c r="E265" t="s">
        <v>5</v>
      </c>
      <c r="F265" s="3">
        <v>416</v>
      </c>
      <c r="G265">
        <f>786-365</f>
        <v>421</v>
      </c>
      <c r="I265">
        <f>(F265-G265)/F265</f>
        <v>-1.201923076923077E-2</v>
      </c>
      <c r="J265" s="6" t="s">
        <v>13</v>
      </c>
    </row>
    <row r="266" spans="1:10" x14ac:dyDescent="0.35">
      <c r="A266">
        <v>265</v>
      </c>
      <c r="B266">
        <v>22</v>
      </c>
      <c r="C266">
        <v>78</v>
      </c>
      <c r="D266">
        <v>170</v>
      </c>
      <c r="E266" t="s">
        <v>5</v>
      </c>
      <c r="F266" s="3">
        <v>398</v>
      </c>
      <c r="G266">
        <f>648-272</f>
        <v>376</v>
      </c>
      <c r="I266">
        <f>(F266-G266)/F266</f>
        <v>5.5276381909547742E-2</v>
      </c>
      <c r="J266" s="6" t="s">
        <v>13</v>
      </c>
    </row>
    <row r="267" spans="1:10" x14ac:dyDescent="0.35">
      <c r="A267">
        <v>266</v>
      </c>
      <c r="B267">
        <v>22</v>
      </c>
      <c r="C267">
        <v>78</v>
      </c>
      <c r="D267">
        <v>170</v>
      </c>
      <c r="E267" t="s">
        <v>5</v>
      </c>
      <c r="F267" s="3">
        <v>380</v>
      </c>
      <c r="G267">
        <f>1045-679</f>
        <v>366</v>
      </c>
      <c r="I267">
        <f>(F267-G267)/F267</f>
        <v>3.6842105263157891E-2</v>
      </c>
      <c r="J267" s="6" t="s">
        <v>13</v>
      </c>
    </row>
    <row r="268" spans="1:10" x14ac:dyDescent="0.35">
      <c r="A268">
        <v>267</v>
      </c>
      <c r="B268">
        <v>22</v>
      </c>
      <c r="C268">
        <v>78</v>
      </c>
      <c r="D268">
        <v>170</v>
      </c>
      <c r="E268" t="s">
        <v>5</v>
      </c>
      <c r="F268" s="3">
        <v>407</v>
      </c>
      <c r="G268">
        <f>633-236</f>
        <v>397</v>
      </c>
      <c r="I268">
        <f>(F268-G268)/F268</f>
        <v>2.4570024570024569E-2</v>
      </c>
      <c r="J268" s="6" t="s">
        <v>13</v>
      </c>
    </row>
    <row r="269" spans="1:10" x14ac:dyDescent="0.35">
      <c r="A269">
        <v>268</v>
      </c>
      <c r="B269">
        <v>22</v>
      </c>
      <c r="C269">
        <v>78</v>
      </c>
      <c r="D269">
        <v>170</v>
      </c>
      <c r="E269" t="s">
        <v>5</v>
      </c>
      <c r="F269" s="3">
        <v>397</v>
      </c>
      <c r="G269">
        <f>326-0</f>
        <v>326</v>
      </c>
      <c r="I269">
        <f>(F269-G269)/F269</f>
        <v>0.17884130982367757</v>
      </c>
      <c r="J269" s="6" t="s">
        <v>13</v>
      </c>
    </row>
    <row r="270" spans="1:10" x14ac:dyDescent="0.35">
      <c r="A270">
        <v>269</v>
      </c>
      <c r="B270">
        <v>22</v>
      </c>
      <c r="C270">
        <v>78</v>
      </c>
      <c r="D270">
        <v>170</v>
      </c>
      <c r="E270" t="s">
        <v>5</v>
      </c>
      <c r="F270" s="3">
        <v>379</v>
      </c>
      <c r="G270">
        <f>594-187</f>
        <v>407</v>
      </c>
      <c r="I270">
        <f>(F270-G270)/F270</f>
        <v>-7.3878627968337732E-2</v>
      </c>
      <c r="J270" s="6" t="s">
        <v>13</v>
      </c>
    </row>
    <row r="271" spans="1:10" x14ac:dyDescent="0.35">
      <c r="A271">
        <v>270</v>
      </c>
      <c r="B271">
        <v>22</v>
      </c>
      <c r="C271">
        <v>78</v>
      </c>
      <c r="D271">
        <v>170</v>
      </c>
      <c r="E271" t="s">
        <v>5</v>
      </c>
      <c r="F271" s="3">
        <v>357</v>
      </c>
      <c r="G271">
        <f>403-56</f>
        <v>347</v>
      </c>
      <c r="I271">
        <f>(F271-G271)/F271</f>
        <v>2.8011204481792718E-2</v>
      </c>
      <c r="J271" s="6" t="s">
        <v>13</v>
      </c>
    </row>
    <row r="272" spans="1:10" x14ac:dyDescent="0.35">
      <c r="A272">
        <v>271</v>
      </c>
      <c r="B272">
        <v>22</v>
      </c>
      <c r="C272">
        <v>78</v>
      </c>
      <c r="D272">
        <v>170</v>
      </c>
      <c r="E272" t="s">
        <v>5</v>
      </c>
      <c r="F272" s="3">
        <v>416</v>
      </c>
      <c r="G272">
        <f>1424-1022</f>
        <v>402</v>
      </c>
      <c r="I272">
        <f>(F272-G272)/F272</f>
        <v>3.3653846153846152E-2</v>
      </c>
      <c r="J272" s="6" t="s">
        <v>13</v>
      </c>
    </row>
    <row r="273" spans="1:10" x14ac:dyDescent="0.35">
      <c r="A273">
        <v>272</v>
      </c>
      <c r="B273">
        <v>22</v>
      </c>
      <c r="C273">
        <v>78</v>
      </c>
      <c r="D273">
        <v>170</v>
      </c>
      <c r="E273" t="s">
        <v>5</v>
      </c>
      <c r="F273" s="3">
        <v>395</v>
      </c>
      <c r="G273">
        <f>815-440</f>
        <v>375</v>
      </c>
      <c r="I273">
        <f>(F273-G273)/F273</f>
        <v>5.0632911392405063E-2</v>
      </c>
      <c r="J273" s="6" t="s">
        <v>13</v>
      </c>
    </row>
    <row r="274" spans="1:10" x14ac:dyDescent="0.35">
      <c r="A274">
        <v>273</v>
      </c>
      <c r="B274">
        <v>22</v>
      </c>
      <c r="C274">
        <v>78</v>
      </c>
      <c r="D274">
        <v>170</v>
      </c>
      <c r="E274" t="s">
        <v>5</v>
      </c>
      <c r="F274" s="3">
        <v>412</v>
      </c>
      <c r="G274">
        <f>932-535</f>
        <v>397</v>
      </c>
      <c r="I274">
        <f>(F274-G274)/F274</f>
        <v>3.640776699029126E-2</v>
      </c>
      <c r="J274" s="6" t="s">
        <v>13</v>
      </c>
    </row>
    <row r="275" spans="1:10" x14ac:dyDescent="0.35">
      <c r="A275">
        <v>274</v>
      </c>
      <c r="B275">
        <v>22</v>
      </c>
      <c r="C275">
        <v>78</v>
      </c>
      <c r="D275">
        <v>170</v>
      </c>
      <c r="E275" t="s">
        <v>5</v>
      </c>
      <c r="F275" s="3">
        <v>396</v>
      </c>
      <c r="G275">
        <f>449-68</f>
        <v>381</v>
      </c>
      <c r="I275">
        <f>(F275-G275)/F275</f>
        <v>3.787878787878788E-2</v>
      </c>
      <c r="J275" s="6" t="s">
        <v>13</v>
      </c>
    </row>
    <row r="276" spans="1:10" x14ac:dyDescent="0.35">
      <c r="A276">
        <v>275</v>
      </c>
      <c r="B276">
        <v>22</v>
      </c>
      <c r="C276">
        <v>78</v>
      </c>
      <c r="D276">
        <v>170</v>
      </c>
      <c r="E276" t="s">
        <v>5</v>
      </c>
      <c r="F276" s="3">
        <v>411</v>
      </c>
      <c r="G276">
        <f>628-244</f>
        <v>384</v>
      </c>
      <c r="I276">
        <f>(F276-G276)/F276</f>
        <v>6.569343065693431E-2</v>
      </c>
      <c r="J276" s="6" t="s">
        <v>13</v>
      </c>
    </row>
    <row r="277" spans="1:10" x14ac:dyDescent="0.35">
      <c r="A277">
        <v>276</v>
      </c>
      <c r="B277">
        <v>22</v>
      </c>
      <c r="C277">
        <v>78</v>
      </c>
      <c r="D277">
        <v>170</v>
      </c>
      <c r="E277" t="s">
        <v>5</v>
      </c>
      <c r="F277" s="3">
        <v>396</v>
      </c>
      <c r="G277">
        <f>573-204</f>
        <v>369</v>
      </c>
      <c r="I277">
        <f>(F277-G277)/F277</f>
        <v>6.8181818181818177E-2</v>
      </c>
      <c r="J277" s="6" t="s">
        <v>13</v>
      </c>
    </row>
    <row r="278" spans="1:10" x14ac:dyDescent="0.35">
      <c r="A278">
        <v>277</v>
      </c>
      <c r="B278">
        <v>22</v>
      </c>
      <c r="C278">
        <v>78</v>
      </c>
      <c r="D278">
        <v>170</v>
      </c>
      <c r="E278" t="s">
        <v>5</v>
      </c>
      <c r="F278" s="3">
        <v>379</v>
      </c>
      <c r="G278">
        <f>431-58</f>
        <v>373</v>
      </c>
      <c r="I278">
        <f>(F278-G278)/F278</f>
        <v>1.5831134564643801E-2</v>
      </c>
      <c r="J278" s="6" t="s">
        <v>13</v>
      </c>
    </row>
    <row r="279" spans="1:10" x14ac:dyDescent="0.35">
      <c r="A279">
        <v>278</v>
      </c>
      <c r="B279">
        <v>22</v>
      </c>
      <c r="C279">
        <v>78</v>
      </c>
      <c r="D279">
        <v>170</v>
      </c>
      <c r="E279" t="s">
        <v>5</v>
      </c>
      <c r="F279" s="3">
        <v>396</v>
      </c>
      <c r="G279">
        <f>1205-861</f>
        <v>344</v>
      </c>
      <c r="I279">
        <f>(F279-G279)/F279</f>
        <v>0.13131313131313133</v>
      </c>
      <c r="J279" s="6" t="s">
        <v>13</v>
      </c>
    </row>
    <row r="280" spans="1:10" x14ac:dyDescent="0.35">
      <c r="A280">
        <v>279</v>
      </c>
      <c r="B280">
        <v>22</v>
      </c>
      <c r="C280">
        <v>78</v>
      </c>
      <c r="D280">
        <v>170</v>
      </c>
      <c r="E280" t="s">
        <v>5</v>
      </c>
      <c r="F280" s="3">
        <v>398</v>
      </c>
      <c r="G280">
        <f>512-120</f>
        <v>392</v>
      </c>
      <c r="I280">
        <f>(F280-G280)/F280</f>
        <v>1.507537688442211E-2</v>
      </c>
      <c r="J280" s="6" t="s">
        <v>13</v>
      </c>
    </row>
    <row r="281" spans="1:10" x14ac:dyDescent="0.35">
      <c r="A281">
        <v>280</v>
      </c>
      <c r="B281">
        <v>22</v>
      </c>
      <c r="C281">
        <v>78</v>
      </c>
      <c r="D281">
        <v>170</v>
      </c>
      <c r="E281" t="s">
        <v>5</v>
      </c>
      <c r="F281" s="3">
        <v>395</v>
      </c>
      <c r="G281">
        <f>1193-822</f>
        <v>371</v>
      </c>
      <c r="I281">
        <f>(F281-G281)/F281</f>
        <v>6.0759493670886074E-2</v>
      </c>
      <c r="J281" s="6" t="s">
        <v>13</v>
      </c>
    </row>
    <row r="282" spans="1:10" x14ac:dyDescent="0.35">
      <c r="A282">
        <v>281</v>
      </c>
      <c r="B282">
        <v>22</v>
      </c>
      <c r="C282">
        <v>78</v>
      </c>
      <c r="D282">
        <v>170</v>
      </c>
      <c r="E282" t="s">
        <v>5</v>
      </c>
      <c r="F282" s="3">
        <v>379</v>
      </c>
      <c r="G282">
        <f>591-236</f>
        <v>355</v>
      </c>
      <c r="I282">
        <f>(F282-G282)/F282</f>
        <v>6.3324538258575203E-2</v>
      </c>
      <c r="J282" s="6" t="s">
        <v>13</v>
      </c>
    </row>
    <row r="283" spans="1:10" x14ac:dyDescent="0.35">
      <c r="A283">
        <v>282</v>
      </c>
      <c r="B283">
        <v>22</v>
      </c>
      <c r="C283">
        <v>78</v>
      </c>
      <c r="D283">
        <v>170</v>
      </c>
      <c r="E283" t="s">
        <v>5</v>
      </c>
      <c r="F283" s="3">
        <v>412</v>
      </c>
      <c r="G283">
        <f>408-0</f>
        <v>408</v>
      </c>
      <c r="I283">
        <f>(F283-G283)/F283</f>
        <v>9.7087378640776691E-3</v>
      </c>
      <c r="J283" s="6" t="s">
        <v>13</v>
      </c>
    </row>
    <row r="284" spans="1:10" x14ac:dyDescent="0.35">
      <c r="A284">
        <v>283</v>
      </c>
      <c r="B284">
        <v>22</v>
      </c>
      <c r="C284">
        <v>78</v>
      </c>
      <c r="D284">
        <v>170</v>
      </c>
      <c r="E284" t="s">
        <v>5</v>
      </c>
      <c r="F284" s="3">
        <v>411</v>
      </c>
      <c r="G284">
        <f>634-245</f>
        <v>389</v>
      </c>
      <c r="I284">
        <f>(F284-G284)/F284</f>
        <v>5.3527980535279802E-2</v>
      </c>
      <c r="J284" s="6" t="s">
        <v>13</v>
      </c>
    </row>
    <row r="285" spans="1:10" x14ac:dyDescent="0.35">
      <c r="A285">
        <v>284</v>
      </c>
      <c r="B285">
        <v>22</v>
      </c>
      <c r="C285">
        <v>78</v>
      </c>
      <c r="D285">
        <v>170</v>
      </c>
      <c r="E285" t="s">
        <v>5</v>
      </c>
      <c r="F285" s="3">
        <v>395</v>
      </c>
      <c r="G285">
        <f>1060-702</f>
        <v>358</v>
      </c>
      <c r="I285">
        <f>(F285-G285)/F285</f>
        <v>9.3670886075949367E-2</v>
      </c>
      <c r="J285" s="6" t="s">
        <v>13</v>
      </c>
    </row>
    <row r="286" spans="1:10" x14ac:dyDescent="0.35">
      <c r="A286">
        <v>285</v>
      </c>
      <c r="B286">
        <v>22</v>
      </c>
      <c r="C286">
        <v>78</v>
      </c>
      <c r="D286">
        <v>170</v>
      </c>
      <c r="E286" t="s">
        <v>5</v>
      </c>
      <c r="F286" s="3">
        <v>364</v>
      </c>
      <c r="G286">
        <f>792-399</f>
        <v>393</v>
      </c>
      <c r="I286">
        <f>(F286-G286)/F286</f>
        <v>-7.9670329670329665E-2</v>
      </c>
      <c r="J286" s="6" t="s">
        <v>13</v>
      </c>
    </row>
    <row r="287" spans="1:10" x14ac:dyDescent="0.35">
      <c r="A287">
        <v>286</v>
      </c>
      <c r="B287">
        <v>22</v>
      </c>
      <c r="C287">
        <v>78</v>
      </c>
      <c r="D287">
        <v>170</v>
      </c>
      <c r="E287" t="s">
        <v>5</v>
      </c>
      <c r="F287" s="3">
        <v>397</v>
      </c>
      <c r="G287">
        <f>1092-683</f>
        <v>409</v>
      </c>
      <c r="I287">
        <f>(F287-G287)/F287</f>
        <v>-3.0226700251889168E-2</v>
      </c>
      <c r="J287" s="6" t="s">
        <v>13</v>
      </c>
    </row>
    <row r="288" spans="1:10" x14ac:dyDescent="0.35">
      <c r="A288">
        <v>287</v>
      </c>
      <c r="B288">
        <v>22</v>
      </c>
      <c r="C288">
        <v>78</v>
      </c>
      <c r="D288">
        <v>170</v>
      </c>
      <c r="E288" t="s">
        <v>5</v>
      </c>
      <c r="F288" s="3">
        <v>395</v>
      </c>
      <c r="G288">
        <f>688-304</f>
        <v>384</v>
      </c>
      <c r="I288">
        <f>(F288-G288)/F288</f>
        <v>2.7848101265822784E-2</v>
      </c>
      <c r="J288" s="6" t="s">
        <v>13</v>
      </c>
    </row>
    <row r="289" spans="1:10" x14ac:dyDescent="0.35">
      <c r="A289">
        <v>288</v>
      </c>
      <c r="B289">
        <v>22</v>
      </c>
      <c r="C289">
        <v>78</v>
      </c>
      <c r="D289">
        <v>170</v>
      </c>
      <c r="E289" t="s">
        <v>5</v>
      </c>
      <c r="F289" s="3">
        <v>429</v>
      </c>
      <c r="G289">
        <f>567-188</f>
        <v>379</v>
      </c>
      <c r="I289">
        <f>(F289-G289)/F289</f>
        <v>0.11655011655011654</v>
      </c>
      <c r="J289" s="6" t="s">
        <v>13</v>
      </c>
    </row>
    <row r="290" spans="1:10" x14ac:dyDescent="0.35">
      <c r="A290">
        <v>289</v>
      </c>
      <c r="B290">
        <v>22</v>
      </c>
      <c r="C290">
        <v>78</v>
      </c>
      <c r="D290">
        <v>170</v>
      </c>
      <c r="E290" t="s">
        <v>5</v>
      </c>
      <c r="F290" s="3">
        <v>396</v>
      </c>
      <c r="G290">
        <f>744-345</f>
        <v>399</v>
      </c>
      <c r="I290">
        <f>(F290-G290)/F290</f>
        <v>-7.575757575757576E-3</v>
      </c>
      <c r="J290" s="6" t="s">
        <v>13</v>
      </c>
    </row>
    <row r="291" spans="1:10" x14ac:dyDescent="0.35">
      <c r="A291">
        <v>290</v>
      </c>
      <c r="B291">
        <v>22</v>
      </c>
      <c r="C291">
        <v>78</v>
      </c>
      <c r="D291">
        <v>170</v>
      </c>
      <c r="E291" t="s">
        <v>5</v>
      </c>
      <c r="F291" s="3">
        <v>388</v>
      </c>
      <c r="G291">
        <f>1056-682</f>
        <v>374</v>
      </c>
      <c r="I291">
        <f>(F291-G291)/F291</f>
        <v>3.608247422680412E-2</v>
      </c>
      <c r="J291" s="6" t="s">
        <v>13</v>
      </c>
    </row>
    <row r="292" spans="1:10" x14ac:dyDescent="0.35">
      <c r="A292">
        <v>291</v>
      </c>
      <c r="B292">
        <v>22</v>
      </c>
      <c r="C292">
        <v>78</v>
      </c>
      <c r="D292">
        <v>170</v>
      </c>
      <c r="E292" t="s">
        <v>5</v>
      </c>
      <c r="F292" s="3">
        <v>428</v>
      </c>
      <c r="G292">
        <f>368-0</f>
        <v>368</v>
      </c>
      <c r="I292">
        <f>(F292-G292)/F292</f>
        <v>0.14018691588785046</v>
      </c>
      <c r="J292" s="6" t="s">
        <v>13</v>
      </c>
    </row>
    <row r="293" spans="1:10" x14ac:dyDescent="0.35">
      <c r="A293">
        <v>292</v>
      </c>
      <c r="B293">
        <v>22</v>
      </c>
      <c r="C293">
        <v>78</v>
      </c>
      <c r="D293">
        <v>170</v>
      </c>
      <c r="E293" t="s">
        <v>5</v>
      </c>
      <c r="F293" s="3">
        <v>411</v>
      </c>
      <c r="G293">
        <f>405-7</f>
        <v>398</v>
      </c>
      <c r="I293">
        <f>(F293-G293)/F293</f>
        <v>3.1630170316301706E-2</v>
      </c>
      <c r="J293" s="6" t="s">
        <v>13</v>
      </c>
    </row>
    <row r="294" spans="1:10" x14ac:dyDescent="0.35">
      <c r="A294">
        <v>293</v>
      </c>
      <c r="B294">
        <v>22</v>
      </c>
      <c r="C294">
        <v>78</v>
      </c>
      <c r="D294">
        <v>170</v>
      </c>
      <c r="E294" t="s">
        <v>5</v>
      </c>
      <c r="F294" s="3">
        <v>379</v>
      </c>
      <c r="G294">
        <f>654-313</f>
        <v>341</v>
      </c>
      <c r="I294">
        <f>(F294-G294)/F294</f>
        <v>0.10026385224274406</v>
      </c>
      <c r="J294" s="6" t="s">
        <v>13</v>
      </c>
    </row>
    <row r="295" spans="1:10" x14ac:dyDescent="0.35">
      <c r="A295">
        <v>294</v>
      </c>
      <c r="B295">
        <v>22</v>
      </c>
      <c r="C295">
        <v>78</v>
      </c>
      <c r="D295">
        <v>170</v>
      </c>
      <c r="E295" t="s">
        <v>5</v>
      </c>
      <c r="F295" s="3">
        <v>396</v>
      </c>
      <c r="G295">
        <f>694-326</f>
        <v>368</v>
      </c>
      <c r="I295">
        <f>(F295-G295)/F295</f>
        <v>7.0707070707070704E-2</v>
      </c>
      <c r="J295" s="6" t="s">
        <v>13</v>
      </c>
    </row>
    <row r="296" spans="1:10" x14ac:dyDescent="0.35">
      <c r="A296">
        <v>295</v>
      </c>
      <c r="B296">
        <v>22</v>
      </c>
      <c r="C296">
        <v>78</v>
      </c>
      <c r="D296">
        <v>170</v>
      </c>
      <c r="E296" t="s">
        <v>5</v>
      </c>
      <c r="F296" s="3">
        <v>361</v>
      </c>
      <c r="G296">
        <f>855-472</f>
        <v>383</v>
      </c>
      <c r="I296">
        <f>(F296-G296)/F296</f>
        <v>-6.0941828254847646E-2</v>
      </c>
      <c r="J296" s="6" t="s">
        <v>13</v>
      </c>
    </row>
    <row r="297" spans="1:10" x14ac:dyDescent="0.35">
      <c r="A297">
        <v>296</v>
      </c>
      <c r="B297">
        <v>22</v>
      </c>
      <c r="C297">
        <v>78</v>
      </c>
      <c r="D297">
        <v>170</v>
      </c>
      <c r="E297" t="s">
        <v>5</v>
      </c>
      <c r="F297" s="3">
        <v>396</v>
      </c>
      <c r="G297">
        <f>857-461</f>
        <v>396</v>
      </c>
      <c r="I297">
        <f>(F297-G297)/F297</f>
        <v>0</v>
      </c>
      <c r="J297" s="6" t="s">
        <v>13</v>
      </c>
    </row>
    <row r="298" spans="1:10" x14ac:dyDescent="0.35">
      <c r="A298">
        <v>297</v>
      </c>
      <c r="B298">
        <v>22</v>
      </c>
      <c r="C298">
        <v>78</v>
      </c>
      <c r="D298">
        <v>170</v>
      </c>
      <c r="E298" t="s">
        <v>5</v>
      </c>
      <c r="F298" s="3">
        <v>413</v>
      </c>
      <c r="G298">
        <f>1177-808</f>
        <v>369</v>
      </c>
      <c r="I298">
        <f>(F298-G298)/F298</f>
        <v>0.10653753026634383</v>
      </c>
      <c r="J298" s="6" t="s">
        <v>13</v>
      </c>
    </row>
    <row r="299" spans="1:10" x14ac:dyDescent="0.35">
      <c r="A299">
        <v>298</v>
      </c>
      <c r="B299">
        <v>22</v>
      </c>
      <c r="C299">
        <v>78</v>
      </c>
      <c r="D299">
        <v>170</v>
      </c>
      <c r="E299" t="s">
        <v>5</v>
      </c>
      <c r="F299" s="3">
        <v>395</v>
      </c>
      <c r="G299">
        <f>311-0</f>
        <v>311</v>
      </c>
      <c r="I299">
        <f>(F299-G299)/F299</f>
        <v>0.21265822784810126</v>
      </c>
      <c r="J299" s="6" t="s">
        <v>13</v>
      </c>
    </row>
    <row r="300" spans="1:10" x14ac:dyDescent="0.35">
      <c r="A300">
        <v>299</v>
      </c>
      <c r="B300">
        <v>22</v>
      </c>
      <c r="C300">
        <v>78</v>
      </c>
      <c r="D300">
        <v>170</v>
      </c>
      <c r="E300" t="s">
        <v>5</v>
      </c>
      <c r="F300" s="3">
        <v>413</v>
      </c>
      <c r="G300">
        <f>337-0</f>
        <v>337</v>
      </c>
      <c r="I300">
        <f>(F300-G300)/F300</f>
        <v>0.18401937046004843</v>
      </c>
      <c r="J300" s="6" t="s">
        <v>13</v>
      </c>
    </row>
    <row r="301" spans="1:10" x14ac:dyDescent="0.35">
      <c r="A301">
        <v>300</v>
      </c>
      <c r="B301">
        <v>22</v>
      </c>
      <c r="C301">
        <v>78</v>
      </c>
      <c r="D301">
        <v>170</v>
      </c>
      <c r="E301" t="s">
        <v>5</v>
      </c>
      <c r="F301" s="3">
        <v>380</v>
      </c>
      <c r="G301">
        <f>602-225</f>
        <v>377</v>
      </c>
      <c r="I301">
        <f>(F301-G301)/F301</f>
        <v>7.8947368421052634E-3</v>
      </c>
      <c r="J301" s="6" t="s">
        <v>13</v>
      </c>
    </row>
    <row r="302" spans="1:10" x14ac:dyDescent="0.35">
      <c r="A302">
        <v>301</v>
      </c>
      <c r="B302">
        <v>22</v>
      </c>
      <c r="C302">
        <v>78</v>
      </c>
      <c r="D302">
        <v>170</v>
      </c>
      <c r="E302" t="s">
        <v>5</v>
      </c>
      <c r="F302" s="3">
        <v>398</v>
      </c>
      <c r="G302">
        <f>367-0</f>
        <v>367</v>
      </c>
      <c r="I302">
        <f>(F302-G302)/F302</f>
        <v>7.7889447236180909E-2</v>
      </c>
      <c r="J302" s="6" t="s">
        <v>13</v>
      </c>
    </row>
    <row r="303" spans="1:10" x14ac:dyDescent="0.35">
      <c r="A303">
        <v>302</v>
      </c>
      <c r="B303">
        <v>22</v>
      </c>
      <c r="C303">
        <v>78</v>
      </c>
      <c r="D303">
        <v>170</v>
      </c>
      <c r="E303" t="s">
        <v>5</v>
      </c>
      <c r="F303" s="3">
        <v>428</v>
      </c>
      <c r="G303">
        <f>697-285</f>
        <v>412</v>
      </c>
      <c r="I303">
        <f>(F303-G303)/F303</f>
        <v>3.7383177570093455E-2</v>
      </c>
      <c r="J303" s="6" t="s">
        <v>13</v>
      </c>
    </row>
    <row r="304" spans="1:10" x14ac:dyDescent="0.35">
      <c r="A304">
        <v>303</v>
      </c>
      <c r="B304">
        <v>22</v>
      </c>
      <c r="C304">
        <v>78</v>
      </c>
      <c r="D304">
        <v>170</v>
      </c>
      <c r="E304" t="s">
        <v>5</v>
      </c>
      <c r="F304" s="3">
        <v>380</v>
      </c>
      <c r="G304">
        <f>755-361</f>
        <v>394</v>
      </c>
      <c r="I304">
        <f>(F304-G304)/F304</f>
        <v>-3.6842105263157891E-2</v>
      </c>
      <c r="J304" s="6" t="s">
        <v>13</v>
      </c>
    </row>
    <row r="305" spans="1:10" x14ac:dyDescent="0.35">
      <c r="A305">
        <v>304</v>
      </c>
      <c r="B305">
        <v>22</v>
      </c>
      <c r="C305">
        <v>78</v>
      </c>
      <c r="D305">
        <v>170</v>
      </c>
      <c r="E305" t="s">
        <v>5</v>
      </c>
      <c r="F305" s="3">
        <v>363</v>
      </c>
      <c r="G305">
        <f>916-543</f>
        <v>373</v>
      </c>
      <c r="I305">
        <f>(F305-G305)/F305</f>
        <v>-2.7548209366391185E-2</v>
      </c>
      <c r="J305" s="6" t="s">
        <v>13</v>
      </c>
    </row>
    <row r="306" spans="1:10" x14ac:dyDescent="0.35">
      <c r="A306">
        <v>305</v>
      </c>
      <c r="B306">
        <v>22</v>
      </c>
      <c r="C306">
        <v>78</v>
      </c>
      <c r="D306">
        <v>170</v>
      </c>
      <c r="E306" t="s">
        <v>5</v>
      </c>
      <c r="F306" s="3">
        <v>412</v>
      </c>
      <c r="G306">
        <f>800-448</f>
        <v>352</v>
      </c>
      <c r="I306">
        <f>(F306-G306)/F306</f>
        <v>0.14563106796116504</v>
      </c>
      <c r="J306" s="6" t="s">
        <v>13</v>
      </c>
    </row>
    <row r="307" spans="1:10" x14ac:dyDescent="0.35">
      <c r="A307">
        <v>306</v>
      </c>
      <c r="B307">
        <v>22</v>
      </c>
      <c r="C307">
        <v>78</v>
      </c>
      <c r="D307">
        <v>170</v>
      </c>
      <c r="E307" t="s">
        <v>5</v>
      </c>
      <c r="F307" s="3">
        <v>380</v>
      </c>
      <c r="G307">
        <f>818-443</f>
        <v>375</v>
      </c>
      <c r="I307">
        <f>(F307-G307)/F307</f>
        <v>1.3157894736842105E-2</v>
      </c>
      <c r="J307" s="6" t="s">
        <v>13</v>
      </c>
    </row>
    <row r="308" spans="1:10" x14ac:dyDescent="0.35">
      <c r="A308">
        <v>307</v>
      </c>
      <c r="B308">
        <v>22</v>
      </c>
      <c r="C308">
        <v>78</v>
      </c>
      <c r="D308">
        <v>170</v>
      </c>
      <c r="E308" t="s">
        <v>5</v>
      </c>
      <c r="F308" s="3">
        <v>365</v>
      </c>
      <c r="G308">
        <f>946-531</f>
        <v>415</v>
      </c>
      <c r="I308">
        <f>(F308-G308)/F308</f>
        <v>-0.13698630136986301</v>
      </c>
      <c r="J308" s="6" t="s">
        <v>13</v>
      </c>
    </row>
    <row r="309" spans="1:10" x14ac:dyDescent="0.35">
      <c r="A309">
        <v>308</v>
      </c>
      <c r="B309">
        <v>22</v>
      </c>
      <c r="C309">
        <v>78</v>
      </c>
      <c r="D309">
        <v>170</v>
      </c>
      <c r="E309" t="s">
        <v>5</v>
      </c>
      <c r="F309" s="3">
        <v>365</v>
      </c>
      <c r="G309">
        <f>532-176</f>
        <v>356</v>
      </c>
      <c r="I309">
        <f>(F309-G309)/F309</f>
        <v>2.4657534246575342E-2</v>
      </c>
      <c r="J309" s="6" t="s">
        <v>13</v>
      </c>
    </row>
    <row r="310" spans="1:10" x14ac:dyDescent="0.35">
      <c r="A310">
        <v>309</v>
      </c>
      <c r="B310">
        <v>22</v>
      </c>
      <c r="C310">
        <v>78</v>
      </c>
      <c r="D310">
        <v>170</v>
      </c>
      <c r="E310" t="s">
        <v>5</v>
      </c>
      <c r="F310" s="3">
        <v>395</v>
      </c>
      <c r="G310">
        <f>648-263</f>
        <v>385</v>
      </c>
      <c r="I310">
        <f>(F310-G310)/F310</f>
        <v>2.5316455696202531E-2</v>
      </c>
      <c r="J310" s="6" t="s">
        <v>13</v>
      </c>
    </row>
    <row r="311" spans="1:10" x14ac:dyDescent="0.35">
      <c r="A311">
        <v>310</v>
      </c>
      <c r="B311">
        <v>22</v>
      </c>
      <c r="C311">
        <v>78</v>
      </c>
      <c r="D311">
        <v>170</v>
      </c>
      <c r="E311" t="s">
        <v>5</v>
      </c>
      <c r="F311" s="3">
        <v>380</v>
      </c>
      <c r="G311">
        <f>952-572</f>
        <v>380</v>
      </c>
      <c r="I311">
        <f>(F311-G311)/F311</f>
        <v>0</v>
      </c>
      <c r="J311" s="6" t="s">
        <v>13</v>
      </c>
    </row>
    <row r="312" spans="1:10" x14ac:dyDescent="0.35">
      <c r="A312">
        <v>311</v>
      </c>
      <c r="B312">
        <v>22</v>
      </c>
      <c r="C312">
        <v>78</v>
      </c>
      <c r="D312">
        <v>170</v>
      </c>
      <c r="E312" t="s">
        <v>5</v>
      </c>
      <c r="F312" s="3">
        <v>378</v>
      </c>
      <c r="G312">
        <f>1032-695</f>
        <v>337</v>
      </c>
      <c r="I312">
        <f>(F312-G312)/F312</f>
        <v>0.10846560846560846</v>
      </c>
      <c r="J312" s="6" t="s">
        <v>13</v>
      </c>
    </row>
    <row r="313" spans="1:10" x14ac:dyDescent="0.35">
      <c r="A313">
        <v>312</v>
      </c>
      <c r="B313">
        <v>22</v>
      </c>
      <c r="C313">
        <v>78</v>
      </c>
      <c r="D313">
        <v>170</v>
      </c>
      <c r="E313" t="s">
        <v>5</v>
      </c>
      <c r="F313" s="3">
        <v>378</v>
      </c>
      <c r="G313">
        <f>250-0</f>
        <v>250</v>
      </c>
      <c r="I313">
        <f>(F313-G313)/F313</f>
        <v>0.33862433862433861</v>
      </c>
      <c r="J313" s="8" t="s">
        <v>13</v>
      </c>
    </row>
    <row r="314" spans="1:10" x14ac:dyDescent="0.35">
      <c r="A314">
        <v>313</v>
      </c>
      <c r="B314">
        <v>22</v>
      </c>
      <c r="C314">
        <v>78</v>
      </c>
      <c r="D314">
        <v>170</v>
      </c>
      <c r="E314" t="s">
        <v>5</v>
      </c>
      <c r="F314" s="3">
        <v>365</v>
      </c>
      <c r="G314">
        <f>380-0</f>
        <v>380</v>
      </c>
      <c r="I314">
        <f>(F314-G314)/F314</f>
        <v>-4.1095890410958902E-2</v>
      </c>
      <c r="J314" s="6" t="s">
        <v>13</v>
      </c>
    </row>
    <row r="315" spans="1:10" x14ac:dyDescent="0.35">
      <c r="A315">
        <v>314</v>
      </c>
      <c r="B315">
        <v>22</v>
      </c>
      <c r="C315">
        <v>78</v>
      </c>
      <c r="D315">
        <v>170</v>
      </c>
      <c r="E315" t="s">
        <v>5</v>
      </c>
      <c r="F315" s="3">
        <v>363</v>
      </c>
      <c r="G315">
        <f>1080-715</f>
        <v>365</v>
      </c>
      <c r="I315">
        <f>(F315-G315)/F315</f>
        <v>-5.5096418732782371E-3</v>
      </c>
      <c r="J315" s="6" t="s">
        <v>13</v>
      </c>
    </row>
    <row r="316" spans="1:10" x14ac:dyDescent="0.35">
      <c r="A316">
        <v>315</v>
      </c>
      <c r="B316">
        <v>22</v>
      </c>
      <c r="C316">
        <v>78</v>
      </c>
      <c r="D316">
        <v>170</v>
      </c>
      <c r="E316" t="s">
        <v>5</v>
      </c>
      <c r="F316" s="3">
        <v>396</v>
      </c>
      <c r="G316">
        <f>1064-652</f>
        <v>412</v>
      </c>
      <c r="I316">
        <f>(F316-G316)/F316</f>
        <v>-4.0404040404040407E-2</v>
      </c>
      <c r="J316" s="6" t="s">
        <v>13</v>
      </c>
    </row>
    <row r="317" spans="1:10" x14ac:dyDescent="0.35">
      <c r="A317">
        <v>316</v>
      </c>
      <c r="B317">
        <v>22</v>
      </c>
      <c r="C317">
        <v>78</v>
      </c>
      <c r="D317">
        <v>170</v>
      </c>
      <c r="E317" t="s">
        <v>5</v>
      </c>
      <c r="F317" s="3">
        <v>412</v>
      </c>
      <c r="G317">
        <f>1225-821</f>
        <v>404</v>
      </c>
      <c r="I317">
        <f>(F317-G317)/F317</f>
        <v>1.9417475728155338E-2</v>
      </c>
      <c r="J317" s="6" t="s">
        <v>13</v>
      </c>
    </row>
    <row r="318" spans="1:10" x14ac:dyDescent="0.35">
      <c r="A318">
        <v>317</v>
      </c>
      <c r="B318">
        <v>22</v>
      </c>
      <c r="C318">
        <v>78</v>
      </c>
      <c r="D318">
        <v>170</v>
      </c>
      <c r="E318" t="s">
        <v>5</v>
      </c>
      <c r="F318" s="3">
        <v>364</v>
      </c>
      <c r="G318">
        <f>414-7</f>
        <v>407</v>
      </c>
      <c r="I318">
        <f>(F318-G318)/F318</f>
        <v>-0.11813186813186813</v>
      </c>
      <c r="J318" s="6" t="s">
        <v>13</v>
      </c>
    </row>
    <row r="319" spans="1:10" x14ac:dyDescent="0.35">
      <c r="A319">
        <v>318</v>
      </c>
      <c r="B319">
        <v>22</v>
      </c>
      <c r="C319">
        <v>78</v>
      </c>
      <c r="D319">
        <v>170</v>
      </c>
      <c r="E319" t="s">
        <v>5</v>
      </c>
      <c r="F319" s="3">
        <v>396</v>
      </c>
      <c r="G319">
        <f>1192-812</f>
        <v>380</v>
      </c>
      <c r="I319">
        <f>(F319-G319)/F319</f>
        <v>4.0404040404040407E-2</v>
      </c>
      <c r="J319" s="6" t="s">
        <v>13</v>
      </c>
    </row>
    <row r="320" spans="1:10" x14ac:dyDescent="0.35">
      <c r="A320">
        <v>319</v>
      </c>
      <c r="B320">
        <v>22</v>
      </c>
      <c r="C320">
        <v>78</v>
      </c>
      <c r="D320">
        <v>170</v>
      </c>
      <c r="E320" t="s">
        <v>5</v>
      </c>
      <c r="F320" s="3">
        <v>412</v>
      </c>
      <c r="G320">
        <f>414-0</f>
        <v>414</v>
      </c>
      <c r="I320">
        <f>(F320-G320)/F320</f>
        <v>-4.8543689320388345E-3</v>
      </c>
      <c r="J320" s="6" t="s">
        <v>13</v>
      </c>
    </row>
    <row r="321" spans="1:10" x14ac:dyDescent="0.35">
      <c r="A321">
        <v>320</v>
      </c>
      <c r="B321">
        <v>22</v>
      </c>
      <c r="C321">
        <v>78</v>
      </c>
      <c r="D321">
        <v>170</v>
      </c>
      <c r="E321" t="s">
        <v>5</v>
      </c>
      <c r="F321" s="3">
        <v>380</v>
      </c>
      <c r="G321">
        <f>442-55</f>
        <v>387</v>
      </c>
      <c r="I321">
        <f>(F321-G321)/F321</f>
        <v>-1.8421052631578946E-2</v>
      </c>
      <c r="J321" s="6" t="s">
        <v>13</v>
      </c>
    </row>
    <row r="322" spans="1:10" x14ac:dyDescent="0.35">
      <c r="A322">
        <v>321</v>
      </c>
      <c r="B322">
        <v>22</v>
      </c>
      <c r="C322">
        <v>78</v>
      </c>
      <c r="D322">
        <v>170</v>
      </c>
      <c r="E322" t="s">
        <v>5</v>
      </c>
      <c r="F322" s="3">
        <v>412</v>
      </c>
      <c r="G322">
        <f>1201-795</f>
        <v>406</v>
      </c>
      <c r="I322">
        <f>(F322-G322)/F322</f>
        <v>1.4563106796116505E-2</v>
      </c>
      <c r="J322" s="6" t="s">
        <v>13</v>
      </c>
    </row>
    <row r="323" spans="1:10" x14ac:dyDescent="0.35">
      <c r="A323">
        <v>322</v>
      </c>
      <c r="B323">
        <v>22</v>
      </c>
      <c r="C323">
        <v>78</v>
      </c>
      <c r="D323">
        <v>170</v>
      </c>
      <c r="E323" t="s">
        <v>5</v>
      </c>
      <c r="F323" s="3">
        <v>426</v>
      </c>
      <c r="G323">
        <f>1251-858</f>
        <v>393</v>
      </c>
      <c r="I323">
        <f>(F323-G323)/F323</f>
        <v>7.746478873239436E-2</v>
      </c>
      <c r="J323" s="6" t="s">
        <v>13</v>
      </c>
    </row>
    <row r="324" spans="1:10" x14ac:dyDescent="0.35">
      <c r="A324">
        <v>323</v>
      </c>
      <c r="B324">
        <v>22</v>
      </c>
      <c r="C324">
        <v>78</v>
      </c>
      <c r="D324">
        <v>170</v>
      </c>
      <c r="E324" t="s">
        <v>5</v>
      </c>
      <c r="F324" s="3">
        <v>411</v>
      </c>
      <c r="G324">
        <f>1021-612</f>
        <v>409</v>
      </c>
      <c r="I324">
        <f>(F324-G324)/F324</f>
        <v>4.8661800486618006E-3</v>
      </c>
      <c r="J324" s="6" t="s">
        <v>13</v>
      </c>
    </row>
    <row r="325" spans="1:10" x14ac:dyDescent="0.35">
      <c r="A325">
        <v>324</v>
      </c>
      <c r="B325">
        <v>22</v>
      </c>
      <c r="C325">
        <v>78</v>
      </c>
      <c r="D325">
        <v>170</v>
      </c>
      <c r="E325" t="s">
        <v>5</v>
      </c>
      <c r="F325" s="3">
        <v>394</v>
      </c>
      <c r="G325">
        <f>1258-861</f>
        <v>397</v>
      </c>
      <c r="I325">
        <f>(F325-G325)/F325</f>
        <v>-7.6142131979695434E-3</v>
      </c>
      <c r="J325" s="6" t="s">
        <v>13</v>
      </c>
    </row>
    <row r="326" spans="1:10" x14ac:dyDescent="0.35">
      <c r="A326">
        <v>325</v>
      </c>
      <c r="B326">
        <v>22</v>
      </c>
      <c r="C326">
        <v>78</v>
      </c>
      <c r="D326">
        <v>170</v>
      </c>
      <c r="E326" t="s">
        <v>5</v>
      </c>
      <c r="F326" s="3">
        <v>394</v>
      </c>
      <c r="G326">
        <f>410-0</f>
        <v>410</v>
      </c>
      <c r="I326">
        <f>(F326-G326)/F326</f>
        <v>-4.060913705583756E-2</v>
      </c>
      <c r="J326" s="6" t="s">
        <v>13</v>
      </c>
    </row>
    <row r="327" spans="1:10" x14ac:dyDescent="0.35">
      <c r="A327">
        <v>326</v>
      </c>
      <c r="B327">
        <v>22</v>
      </c>
      <c r="C327">
        <v>78</v>
      </c>
      <c r="D327">
        <v>170</v>
      </c>
      <c r="E327" t="s">
        <v>5</v>
      </c>
      <c r="F327" s="3">
        <v>428</v>
      </c>
      <c r="G327">
        <f>1178-811</f>
        <v>367</v>
      </c>
      <c r="I327">
        <f>(F327-G327)/F327</f>
        <v>0.1425233644859813</v>
      </c>
      <c r="J327" s="6" t="s">
        <v>13</v>
      </c>
    </row>
    <row r="328" spans="1:10" x14ac:dyDescent="0.35">
      <c r="A328">
        <v>327</v>
      </c>
      <c r="B328">
        <v>22</v>
      </c>
      <c r="C328">
        <v>78</v>
      </c>
      <c r="D328">
        <v>170</v>
      </c>
      <c r="E328" t="s">
        <v>5</v>
      </c>
      <c r="F328" s="3">
        <v>397</v>
      </c>
      <c r="G328">
        <f>682-268</f>
        <v>414</v>
      </c>
      <c r="I328">
        <f>(F328-G328)/F328</f>
        <v>-4.2821158690176324E-2</v>
      </c>
      <c r="J328" s="6" t="s">
        <v>13</v>
      </c>
    </row>
    <row r="329" spans="1:10" x14ac:dyDescent="0.35">
      <c r="A329">
        <v>328</v>
      </c>
      <c r="B329">
        <v>22</v>
      </c>
      <c r="C329">
        <v>78</v>
      </c>
      <c r="D329">
        <v>170</v>
      </c>
      <c r="E329" t="s">
        <v>5</v>
      </c>
      <c r="F329" s="3">
        <v>397</v>
      </c>
      <c r="G329">
        <f>884-472</f>
        <v>412</v>
      </c>
      <c r="I329">
        <f>(F329-G329)/F329</f>
        <v>-3.7783375314861464E-2</v>
      </c>
      <c r="J329" s="6" t="s">
        <v>13</v>
      </c>
    </row>
    <row r="330" spans="1:10" x14ac:dyDescent="0.35">
      <c r="A330">
        <v>329</v>
      </c>
      <c r="B330">
        <v>22</v>
      </c>
      <c r="C330">
        <v>78</v>
      </c>
      <c r="D330">
        <v>170</v>
      </c>
      <c r="E330" t="s">
        <v>5</v>
      </c>
      <c r="F330" s="3">
        <v>397</v>
      </c>
      <c r="G330">
        <f>1059-633</f>
        <v>426</v>
      </c>
      <c r="I330">
        <f>(F330-G330)/F330</f>
        <v>-7.3047858942065488E-2</v>
      </c>
      <c r="J330" s="6" t="s">
        <v>13</v>
      </c>
    </row>
    <row r="331" spans="1:10" x14ac:dyDescent="0.35">
      <c r="A331">
        <v>330</v>
      </c>
      <c r="B331">
        <v>22</v>
      </c>
      <c r="C331">
        <v>78</v>
      </c>
      <c r="D331">
        <v>170</v>
      </c>
      <c r="E331" t="s">
        <v>5</v>
      </c>
      <c r="F331" s="3">
        <v>411</v>
      </c>
      <c r="G331">
        <f>964-581</f>
        <v>383</v>
      </c>
      <c r="I331">
        <f>(F331-G331)/F331</f>
        <v>6.8126520681265207E-2</v>
      </c>
      <c r="J331" s="6" t="s">
        <v>13</v>
      </c>
    </row>
    <row r="332" spans="1:10" x14ac:dyDescent="0.35">
      <c r="A332">
        <v>331</v>
      </c>
      <c r="B332">
        <v>22</v>
      </c>
      <c r="C332">
        <v>78</v>
      </c>
      <c r="D332">
        <v>170</v>
      </c>
      <c r="E332" t="s">
        <v>5</v>
      </c>
      <c r="F332" s="3">
        <v>397</v>
      </c>
      <c r="G332">
        <f>1974-1604</f>
        <v>370</v>
      </c>
      <c r="I332">
        <f>(F332-G332)/F332</f>
        <v>6.8010075566750636E-2</v>
      </c>
      <c r="J332" s="6" t="s">
        <v>13</v>
      </c>
    </row>
    <row r="333" spans="1:10" x14ac:dyDescent="0.35">
      <c r="A333">
        <v>332</v>
      </c>
      <c r="B333">
        <v>22</v>
      </c>
      <c r="C333">
        <v>78</v>
      </c>
      <c r="D333">
        <v>170</v>
      </c>
      <c r="E333" t="s">
        <v>5</v>
      </c>
      <c r="F333" s="3">
        <v>428</v>
      </c>
      <c r="G333">
        <f>540-131</f>
        <v>409</v>
      </c>
      <c r="I333">
        <f>(F333-G333)/F333</f>
        <v>4.4392523364485979E-2</v>
      </c>
      <c r="J333" s="6" t="s">
        <v>13</v>
      </c>
    </row>
    <row r="334" spans="1:10" x14ac:dyDescent="0.35">
      <c r="A334">
        <v>333</v>
      </c>
      <c r="B334">
        <v>22</v>
      </c>
      <c r="C334">
        <v>78</v>
      </c>
      <c r="D334">
        <v>170</v>
      </c>
      <c r="E334" t="s">
        <v>5</v>
      </c>
      <c r="F334" s="3">
        <v>412</v>
      </c>
      <c r="G334">
        <f>410-0</f>
        <v>410</v>
      </c>
      <c r="I334">
        <f>(F334-G334)/F334</f>
        <v>4.8543689320388345E-3</v>
      </c>
      <c r="J334" s="6" t="s">
        <v>13</v>
      </c>
    </row>
    <row r="335" spans="1:10" x14ac:dyDescent="0.35">
      <c r="A335">
        <v>334</v>
      </c>
      <c r="B335">
        <v>22</v>
      </c>
      <c r="C335">
        <v>78</v>
      </c>
      <c r="D335">
        <v>170</v>
      </c>
      <c r="E335" t="s">
        <v>5</v>
      </c>
      <c r="F335" s="3">
        <v>403</v>
      </c>
      <c r="G335">
        <f>808-401</f>
        <v>407</v>
      </c>
      <c r="I335">
        <f>(F335-G335)/F335</f>
        <v>-9.9255583126550868E-3</v>
      </c>
      <c r="J335" s="6" t="s">
        <v>13</v>
      </c>
    </row>
    <row r="336" spans="1:10" x14ac:dyDescent="0.35">
      <c r="A336">
        <v>335</v>
      </c>
      <c r="B336">
        <v>22</v>
      </c>
      <c r="C336">
        <v>78</v>
      </c>
      <c r="D336">
        <v>170</v>
      </c>
      <c r="E336" t="s">
        <v>5</v>
      </c>
      <c r="F336" s="3">
        <v>383</v>
      </c>
      <c r="G336">
        <f>407-38</f>
        <v>369</v>
      </c>
      <c r="I336">
        <f>(F336-G336)/F336</f>
        <v>3.6553524804177548E-2</v>
      </c>
      <c r="J336" s="6" t="s">
        <v>13</v>
      </c>
    </row>
    <row r="337" spans="1:10" x14ac:dyDescent="0.35">
      <c r="A337">
        <v>336</v>
      </c>
      <c r="B337">
        <v>22</v>
      </c>
      <c r="C337">
        <v>78</v>
      </c>
      <c r="D337">
        <v>170</v>
      </c>
      <c r="E337" t="s">
        <v>5</v>
      </c>
      <c r="F337" s="3">
        <v>384</v>
      </c>
      <c r="G337">
        <f>978-595</f>
        <v>383</v>
      </c>
      <c r="I337">
        <f>(F337-G337)/F337</f>
        <v>2.6041666666666665E-3</v>
      </c>
      <c r="J337" s="6" t="s">
        <v>13</v>
      </c>
    </row>
    <row r="338" spans="1:10" x14ac:dyDescent="0.35">
      <c r="A338">
        <v>337</v>
      </c>
      <c r="B338">
        <v>22</v>
      </c>
      <c r="C338">
        <v>78</v>
      </c>
      <c r="D338">
        <v>170</v>
      </c>
      <c r="E338" t="s">
        <v>5</v>
      </c>
      <c r="F338" s="3">
        <v>398</v>
      </c>
      <c r="G338">
        <f>448-0</f>
        <v>448</v>
      </c>
      <c r="I338">
        <f>(F338-G338)/F338</f>
        <v>-0.12562814070351758</v>
      </c>
      <c r="J338" s="6" t="s">
        <v>13</v>
      </c>
    </row>
    <row r="339" spans="1:10" x14ac:dyDescent="0.35">
      <c r="A339">
        <v>338</v>
      </c>
      <c r="B339">
        <v>22</v>
      </c>
      <c r="C339">
        <v>78</v>
      </c>
      <c r="D339">
        <v>170</v>
      </c>
      <c r="E339" t="s">
        <v>5</v>
      </c>
      <c r="F339" s="3">
        <v>380</v>
      </c>
      <c r="G339">
        <f>1373-976</f>
        <v>397</v>
      </c>
      <c r="I339">
        <f>(F339-G339)/F339</f>
        <v>-4.4736842105263158E-2</v>
      </c>
      <c r="J339" s="6" t="s">
        <v>13</v>
      </c>
    </row>
    <row r="340" spans="1:10" x14ac:dyDescent="0.35">
      <c r="A340">
        <v>339</v>
      </c>
      <c r="B340">
        <v>22</v>
      </c>
      <c r="C340">
        <v>78</v>
      </c>
      <c r="D340">
        <v>170</v>
      </c>
      <c r="E340" t="s">
        <v>5</v>
      </c>
      <c r="F340" s="3">
        <v>415</v>
      </c>
      <c r="G340">
        <f>823-438</f>
        <v>385</v>
      </c>
      <c r="I340">
        <f>(F340-G340)/F340</f>
        <v>7.2289156626506021E-2</v>
      </c>
      <c r="J340" s="6" t="s">
        <v>13</v>
      </c>
    </row>
    <row r="341" spans="1:10" x14ac:dyDescent="0.35">
      <c r="A341">
        <v>340</v>
      </c>
      <c r="B341">
        <v>22</v>
      </c>
      <c r="C341">
        <v>78</v>
      </c>
      <c r="D341">
        <v>170</v>
      </c>
      <c r="E341" t="s">
        <v>5</v>
      </c>
      <c r="F341" s="3">
        <v>414</v>
      </c>
      <c r="G341">
        <f>397-0</f>
        <v>397</v>
      </c>
      <c r="I341">
        <f>(F341-G341)/F341</f>
        <v>4.1062801932367152E-2</v>
      </c>
      <c r="J341" s="6" t="s">
        <v>13</v>
      </c>
    </row>
    <row r="342" spans="1:10" x14ac:dyDescent="0.35">
      <c r="A342">
        <v>341</v>
      </c>
      <c r="B342">
        <v>22</v>
      </c>
      <c r="C342">
        <v>78</v>
      </c>
      <c r="D342">
        <v>170</v>
      </c>
      <c r="E342" t="s">
        <v>5</v>
      </c>
      <c r="F342" s="3">
        <v>365</v>
      </c>
      <c r="G342">
        <f>1061-676</f>
        <v>385</v>
      </c>
      <c r="I342">
        <f>(F342-G342)/F342</f>
        <v>-5.4794520547945202E-2</v>
      </c>
      <c r="J342" s="6" t="s">
        <v>13</v>
      </c>
    </row>
    <row r="343" spans="1:10" x14ac:dyDescent="0.35">
      <c r="A343">
        <v>342</v>
      </c>
      <c r="B343">
        <v>22</v>
      </c>
      <c r="C343">
        <v>78</v>
      </c>
      <c r="D343">
        <v>170</v>
      </c>
      <c r="E343" t="s">
        <v>5</v>
      </c>
      <c r="F343" s="3">
        <v>399</v>
      </c>
      <c r="G343">
        <f>1258-868</f>
        <v>390</v>
      </c>
      <c r="I343">
        <f>(F343-G343)/F343</f>
        <v>2.2556390977443608E-2</v>
      </c>
      <c r="J343" s="6" t="s">
        <v>13</v>
      </c>
    </row>
    <row r="344" spans="1:10" x14ac:dyDescent="0.35">
      <c r="A344">
        <v>343</v>
      </c>
      <c r="B344">
        <v>22</v>
      </c>
      <c r="C344">
        <v>78</v>
      </c>
      <c r="D344">
        <v>170</v>
      </c>
      <c r="E344" t="s">
        <v>5</v>
      </c>
      <c r="F344" s="3">
        <v>414</v>
      </c>
      <c r="G344">
        <f>1276-884</f>
        <v>392</v>
      </c>
      <c r="I344">
        <f>(F344-G344)/F344</f>
        <v>5.3140096618357488E-2</v>
      </c>
      <c r="J344" s="6" t="s">
        <v>13</v>
      </c>
    </row>
    <row r="345" spans="1:10" x14ac:dyDescent="0.35">
      <c r="A345">
        <v>344</v>
      </c>
      <c r="B345">
        <v>22</v>
      </c>
      <c r="C345">
        <v>78</v>
      </c>
      <c r="D345">
        <v>170</v>
      </c>
      <c r="E345" t="s">
        <v>5</v>
      </c>
      <c r="F345" s="3">
        <v>380</v>
      </c>
      <c r="G345">
        <f>778-402</f>
        <v>376</v>
      </c>
      <c r="I345">
        <f>(F345-G345)/F345</f>
        <v>1.0526315789473684E-2</v>
      </c>
      <c r="J345" s="6" t="s">
        <v>13</v>
      </c>
    </row>
    <row r="346" spans="1:10" x14ac:dyDescent="0.35">
      <c r="A346">
        <v>345</v>
      </c>
      <c r="B346">
        <v>22</v>
      </c>
      <c r="C346">
        <v>78</v>
      </c>
      <c r="D346">
        <v>170</v>
      </c>
      <c r="E346" t="s">
        <v>5</v>
      </c>
      <c r="F346" s="3">
        <v>393</v>
      </c>
      <c r="G346">
        <f>1417-1017</f>
        <v>400</v>
      </c>
      <c r="I346">
        <f>(F346-G346)/F346</f>
        <v>-1.7811704834605598E-2</v>
      </c>
      <c r="J346" s="6" t="s">
        <v>13</v>
      </c>
    </row>
    <row r="347" spans="1:10" x14ac:dyDescent="0.35">
      <c r="A347">
        <v>346</v>
      </c>
      <c r="B347">
        <v>22</v>
      </c>
      <c r="C347">
        <v>78</v>
      </c>
      <c r="D347">
        <v>170</v>
      </c>
      <c r="E347" t="s">
        <v>5</v>
      </c>
      <c r="F347" s="3">
        <v>399</v>
      </c>
      <c r="G347">
        <f>619-237</f>
        <v>382</v>
      </c>
      <c r="I347">
        <f>(F347-G347)/F347</f>
        <v>4.2606516290726815E-2</v>
      </c>
      <c r="J347" s="6" t="s">
        <v>13</v>
      </c>
    </row>
    <row r="348" spans="1:10" x14ac:dyDescent="0.35">
      <c r="A348">
        <v>347</v>
      </c>
      <c r="B348">
        <v>22</v>
      </c>
      <c r="C348">
        <v>78</v>
      </c>
      <c r="D348">
        <v>170</v>
      </c>
      <c r="E348" t="s">
        <v>5</v>
      </c>
      <c r="F348" s="3">
        <v>393</v>
      </c>
      <c r="G348">
        <f>1421-1044</f>
        <v>377</v>
      </c>
      <c r="I348">
        <f>(F348-G348)/F348</f>
        <v>4.0712468193384227E-2</v>
      </c>
      <c r="J348" s="6" t="s">
        <v>13</v>
      </c>
    </row>
    <row r="349" spans="1:10" x14ac:dyDescent="0.35">
      <c r="A349">
        <v>348</v>
      </c>
      <c r="B349">
        <v>22</v>
      </c>
      <c r="C349">
        <v>78</v>
      </c>
      <c r="D349">
        <v>170</v>
      </c>
      <c r="E349" t="s">
        <v>5</v>
      </c>
      <c r="F349" s="3">
        <v>412</v>
      </c>
      <c r="G349">
        <f>727-352</f>
        <v>375</v>
      </c>
      <c r="I349">
        <f>(F349-G349)/F349</f>
        <v>8.9805825242718448E-2</v>
      </c>
      <c r="J349" s="6" t="s">
        <v>13</v>
      </c>
    </row>
    <row r="350" spans="1:10" x14ac:dyDescent="0.35">
      <c r="A350">
        <v>349</v>
      </c>
      <c r="B350">
        <v>22</v>
      </c>
      <c r="C350">
        <v>78</v>
      </c>
      <c r="D350">
        <v>170</v>
      </c>
      <c r="E350" t="s">
        <v>5</v>
      </c>
      <c r="F350" s="3">
        <v>402</v>
      </c>
      <c r="G350">
        <f>1196-795</f>
        <v>401</v>
      </c>
      <c r="I350">
        <f>(F350-G350)/F350</f>
        <v>2.4875621890547263E-3</v>
      </c>
      <c r="J350" s="6" t="s">
        <v>13</v>
      </c>
    </row>
    <row r="351" spans="1:10" x14ac:dyDescent="0.35">
      <c r="A351">
        <v>350</v>
      </c>
      <c r="B351">
        <v>22</v>
      </c>
      <c r="C351">
        <v>78</v>
      </c>
      <c r="D351">
        <v>170</v>
      </c>
      <c r="E351" t="s">
        <v>5</v>
      </c>
      <c r="F351" s="3">
        <v>413</v>
      </c>
      <c r="G351">
        <f>307-0</f>
        <v>307</v>
      </c>
      <c r="I351">
        <f>(F351-G351)/F351</f>
        <v>0.2566585956416465</v>
      </c>
      <c r="J351" s="6" t="s">
        <v>13</v>
      </c>
    </row>
    <row r="352" spans="1:10" x14ac:dyDescent="0.35">
      <c r="A352">
        <v>351</v>
      </c>
      <c r="B352">
        <v>22</v>
      </c>
      <c r="C352">
        <v>78</v>
      </c>
      <c r="D352">
        <v>170</v>
      </c>
      <c r="E352" t="s">
        <v>5</v>
      </c>
      <c r="F352" s="3">
        <v>367</v>
      </c>
      <c r="G352">
        <f>743-349</f>
        <v>394</v>
      </c>
      <c r="I352">
        <f>(F352-G352)/F352</f>
        <v>-7.3569482288828342E-2</v>
      </c>
      <c r="J352" s="6" t="s">
        <v>13</v>
      </c>
    </row>
    <row r="353" spans="1:10" x14ac:dyDescent="0.35">
      <c r="A353">
        <v>352</v>
      </c>
      <c r="B353">
        <v>22</v>
      </c>
      <c r="C353">
        <v>78</v>
      </c>
      <c r="D353">
        <v>170</v>
      </c>
      <c r="E353" t="s">
        <v>5</v>
      </c>
      <c r="F353" s="3">
        <v>341</v>
      </c>
      <c r="G353">
        <f>343-0</f>
        <v>343</v>
      </c>
      <c r="I353">
        <f>(F353-G353)/F353</f>
        <v>-5.8651026392961877E-3</v>
      </c>
      <c r="J353" s="6" t="s">
        <v>13</v>
      </c>
    </row>
    <row r="354" spans="1:10" x14ac:dyDescent="0.35">
      <c r="A354">
        <v>353</v>
      </c>
      <c r="B354">
        <v>22</v>
      </c>
      <c r="C354">
        <v>78</v>
      </c>
      <c r="D354">
        <v>170</v>
      </c>
      <c r="E354" t="s">
        <v>5</v>
      </c>
      <c r="F354" s="3">
        <v>381</v>
      </c>
      <c r="G354">
        <f>834-445</f>
        <v>389</v>
      </c>
      <c r="I354">
        <f>(F354-G354)/F354</f>
        <v>-2.0997375328083989E-2</v>
      </c>
      <c r="J354" s="6" t="s">
        <v>13</v>
      </c>
    </row>
    <row r="355" spans="1:10" x14ac:dyDescent="0.35">
      <c r="A355">
        <v>354</v>
      </c>
      <c r="B355">
        <v>22</v>
      </c>
      <c r="C355">
        <v>78</v>
      </c>
      <c r="D355">
        <v>170</v>
      </c>
      <c r="E355" t="s">
        <v>5</v>
      </c>
      <c r="F355" s="3">
        <v>398</v>
      </c>
      <c r="G355">
        <f>873-505</f>
        <v>368</v>
      </c>
      <c r="I355">
        <f>(F355-G355)/F355</f>
        <v>7.5376884422110546E-2</v>
      </c>
      <c r="J355" s="6" t="s">
        <v>13</v>
      </c>
    </row>
    <row r="356" spans="1:10" x14ac:dyDescent="0.35">
      <c r="A356">
        <v>355</v>
      </c>
      <c r="B356">
        <v>22</v>
      </c>
      <c r="C356">
        <v>78</v>
      </c>
      <c r="D356">
        <v>170</v>
      </c>
      <c r="E356" t="s">
        <v>5</v>
      </c>
      <c r="F356" s="3">
        <v>380</v>
      </c>
      <c r="G356">
        <f>681-272</f>
        <v>409</v>
      </c>
      <c r="I356">
        <f>(F356-G356)/F356</f>
        <v>-7.6315789473684212E-2</v>
      </c>
      <c r="J356" s="6" t="s">
        <v>13</v>
      </c>
    </row>
    <row r="357" spans="1:10" x14ac:dyDescent="0.35">
      <c r="A357">
        <v>356</v>
      </c>
      <c r="B357">
        <v>22</v>
      </c>
      <c r="C357">
        <v>78</v>
      </c>
      <c r="D357">
        <v>170</v>
      </c>
      <c r="E357" t="s">
        <v>5</v>
      </c>
      <c r="F357" s="3">
        <v>413</v>
      </c>
      <c r="G357">
        <f>1145-743</f>
        <v>402</v>
      </c>
      <c r="I357">
        <f>(F357-G357)/F357</f>
        <v>2.6634382566585957E-2</v>
      </c>
      <c r="J357" s="6" t="s">
        <v>13</v>
      </c>
    </row>
    <row r="358" spans="1:10" x14ac:dyDescent="0.35">
      <c r="A358">
        <v>357</v>
      </c>
      <c r="B358">
        <v>22</v>
      </c>
      <c r="C358">
        <v>78</v>
      </c>
      <c r="D358">
        <v>170</v>
      </c>
      <c r="E358" t="s">
        <v>5</v>
      </c>
      <c r="F358" s="3">
        <v>381</v>
      </c>
      <c r="G358">
        <f>966-581</f>
        <v>385</v>
      </c>
      <c r="I358">
        <f>(F358-G358)/F358</f>
        <v>-1.0498687664041995E-2</v>
      </c>
      <c r="J358" s="6" t="s">
        <v>13</v>
      </c>
    </row>
    <row r="359" spans="1:10" x14ac:dyDescent="0.35">
      <c r="A359">
        <v>358</v>
      </c>
      <c r="B359">
        <v>22</v>
      </c>
      <c r="C359">
        <v>78</v>
      </c>
      <c r="D359">
        <v>170</v>
      </c>
      <c r="E359" t="s">
        <v>5</v>
      </c>
      <c r="F359" s="3">
        <v>380</v>
      </c>
      <c r="G359">
        <f>1596-1219</f>
        <v>377</v>
      </c>
      <c r="I359">
        <f>(F359-G359)/F359</f>
        <v>7.8947368421052634E-3</v>
      </c>
      <c r="J359" s="6" t="s">
        <v>13</v>
      </c>
    </row>
    <row r="360" spans="1:10" x14ac:dyDescent="0.35">
      <c r="A360">
        <v>359</v>
      </c>
      <c r="B360">
        <v>22</v>
      </c>
      <c r="C360">
        <v>78</v>
      </c>
      <c r="D360">
        <v>170</v>
      </c>
      <c r="E360" t="s">
        <v>5</v>
      </c>
      <c r="F360" s="3">
        <v>398</v>
      </c>
      <c r="G360">
        <f>1428-1031</f>
        <v>397</v>
      </c>
      <c r="I360">
        <f>(F360-G360)/F360</f>
        <v>2.5125628140703518E-3</v>
      </c>
      <c r="J360" s="6" t="s">
        <v>13</v>
      </c>
    </row>
    <row r="361" spans="1:10" x14ac:dyDescent="0.35">
      <c r="A361">
        <v>360</v>
      </c>
      <c r="B361">
        <v>22</v>
      </c>
      <c r="C361">
        <v>78</v>
      </c>
      <c r="D361">
        <v>170</v>
      </c>
      <c r="E361" t="s">
        <v>5</v>
      </c>
      <c r="F361" s="3">
        <v>413</v>
      </c>
      <c r="G361">
        <f>557-181</f>
        <v>376</v>
      </c>
      <c r="I361">
        <f>(F361-G361)/F361</f>
        <v>8.9588377723970949E-2</v>
      </c>
      <c r="J361" s="6" t="s">
        <v>13</v>
      </c>
    </row>
    <row r="362" spans="1:10" x14ac:dyDescent="0.35">
      <c r="A362">
        <v>361</v>
      </c>
      <c r="B362">
        <v>22</v>
      </c>
      <c r="C362">
        <v>78</v>
      </c>
      <c r="D362">
        <v>170</v>
      </c>
      <c r="E362" t="s">
        <v>5</v>
      </c>
      <c r="F362" s="3">
        <v>399</v>
      </c>
      <c r="G362">
        <f>820-425</f>
        <v>395</v>
      </c>
      <c r="I362">
        <f>(F362-G362)/F362</f>
        <v>1.0025062656641603E-2</v>
      </c>
      <c r="J362" s="6" t="s">
        <v>13</v>
      </c>
    </row>
    <row r="363" spans="1:10" x14ac:dyDescent="0.35">
      <c r="A363">
        <v>362</v>
      </c>
      <c r="B363">
        <v>22</v>
      </c>
      <c r="C363">
        <v>78</v>
      </c>
      <c r="D363">
        <v>170</v>
      </c>
      <c r="E363" t="s">
        <v>5</v>
      </c>
      <c r="F363" s="3">
        <v>384</v>
      </c>
      <c r="G363">
        <f>736-327</f>
        <v>409</v>
      </c>
      <c r="I363">
        <f>(F363-G363)/F363</f>
        <v>-6.5104166666666671E-2</v>
      </c>
      <c r="J363" s="6" t="s">
        <v>13</v>
      </c>
    </row>
    <row r="364" spans="1:10" x14ac:dyDescent="0.35">
      <c r="A364">
        <v>363</v>
      </c>
      <c r="B364">
        <v>22</v>
      </c>
      <c r="C364">
        <v>78</v>
      </c>
      <c r="D364">
        <v>170</v>
      </c>
      <c r="E364" t="s">
        <v>5</v>
      </c>
      <c r="F364" s="3">
        <v>382</v>
      </c>
      <c r="G364">
        <f>1097-738</f>
        <v>359</v>
      </c>
      <c r="I364">
        <f>(F364-G364)/F364</f>
        <v>6.0209424083769635E-2</v>
      </c>
      <c r="J364" s="6" t="s">
        <v>13</v>
      </c>
    </row>
    <row r="365" spans="1:10" x14ac:dyDescent="0.35">
      <c r="A365">
        <v>364</v>
      </c>
      <c r="B365">
        <v>22</v>
      </c>
      <c r="C365">
        <v>78</v>
      </c>
      <c r="D365">
        <v>170</v>
      </c>
      <c r="E365" t="s">
        <v>5</v>
      </c>
      <c r="F365" s="3">
        <v>413</v>
      </c>
      <c r="G365">
        <f>1366-956</f>
        <v>410</v>
      </c>
      <c r="I365">
        <f>(F365-G365)/F365</f>
        <v>7.2639225181598066E-3</v>
      </c>
      <c r="J365" s="6" t="s">
        <v>13</v>
      </c>
    </row>
    <row r="366" spans="1:10" x14ac:dyDescent="0.35">
      <c r="A366">
        <v>365</v>
      </c>
      <c r="B366">
        <v>22</v>
      </c>
      <c r="C366">
        <v>78</v>
      </c>
      <c r="D366">
        <v>170</v>
      </c>
      <c r="E366" t="s">
        <v>5</v>
      </c>
      <c r="F366" s="3">
        <v>381</v>
      </c>
      <c r="G366">
        <f>1699-1319</f>
        <v>380</v>
      </c>
      <c r="I366">
        <f>(F366-G366)/F366</f>
        <v>2.6246719160104987E-3</v>
      </c>
      <c r="J366" s="6" t="s">
        <v>13</v>
      </c>
    </row>
    <row r="367" spans="1:10" x14ac:dyDescent="0.35">
      <c r="A367">
        <v>366</v>
      </c>
      <c r="B367">
        <v>22</v>
      </c>
      <c r="C367">
        <v>78</v>
      </c>
      <c r="D367">
        <v>170</v>
      </c>
      <c r="E367" t="s">
        <v>5</v>
      </c>
      <c r="F367" s="3">
        <v>399</v>
      </c>
      <c r="G367">
        <f>1332-942</f>
        <v>390</v>
      </c>
      <c r="I367">
        <f>(F367-G367)/F367</f>
        <v>2.2556390977443608E-2</v>
      </c>
      <c r="J367" s="6" t="s">
        <v>13</v>
      </c>
    </row>
    <row r="368" spans="1:10" x14ac:dyDescent="0.35">
      <c r="A368">
        <v>367</v>
      </c>
      <c r="B368">
        <v>22</v>
      </c>
      <c r="C368">
        <v>78</v>
      </c>
      <c r="D368">
        <v>170</v>
      </c>
      <c r="E368" t="s">
        <v>5</v>
      </c>
      <c r="F368" s="3">
        <v>364</v>
      </c>
      <c r="G368">
        <f>1109-714</f>
        <v>395</v>
      </c>
      <c r="I368">
        <f>(F368-G368)/F368</f>
        <v>-8.5164835164835168E-2</v>
      </c>
      <c r="J368" s="6" t="s">
        <v>13</v>
      </c>
    </row>
    <row r="369" spans="1:10" x14ac:dyDescent="0.35">
      <c r="A369">
        <v>368</v>
      </c>
      <c r="B369">
        <v>22</v>
      </c>
      <c r="C369">
        <v>78</v>
      </c>
      <c r="D369">
        <v>170</v>
      </c>
      <c r="E369" t="s">
        <v>5</v>
      </c>
      <c r="F369" s="3">
        <v>412</v>
      </c>
      <c r="G369">
        <f>1119-711</f>
        <v>408</v>
      </c>
      <c r="I369">
        <f>(F369-G369)/F369</f>
        <v>9.7087378640776691E-3</v>
      </c>
      <c r="J369" s="6" t="s">
        <v>13</v>
      </c>
    </row>
    <row r="370" spans="1:10" x14ac:dyDescent="0.35">
      <c r="A370">
        <v>369</v>
      </c>
      <c r="B370">
        <v>22</v>
      </c>
      <c r="C370">
        <v>78</v>
      </c>
      <c r="D370">
        <v>170</v>
      </c>
      <c r="E370" t="s">
        <v>5</v>
      </c>
      <c r="F370" s="3">
        <v>371</v>
      </c>
      <c r="G370">
        <f>918-552</f>
        <v>366</v>
      </c>
      <c r="I370">
        <f>(F370-G370)/F370</f>
        <v>1.3477088948787063E-2</v>
      </c>
      <c r="J370" s="6" t="s">
        <v>13</v>
      </c>
    </row>
    <row r="371" spans="1:10" x14ac:dyDescent="0.35">
      <c r="A371">
        <v>370</v>
      </c>
      <c r="B371">
        <v>22</v>
      </c>
      <c r="C371">
        <v>78</v>
      </c>
      <c r="D371">
        <v>170</v>
      </c>
      <c r="E371" t="s">
        <v>5</v>
      </c>
      <c r="F371" s="3">
        <v>397</v>
      </c>
      <c r="G371">
        <f>776-379</f>
        <v>397</v>
      </c>
      <c r="I371">
        <f>(F371-G371)/F371</f>
        <v>0</v>
      </c>
      <c r="J371" s="6" t="s">
        <v>13</v>
      </c>
    </row>
    <row r="372" spans="1:10" x14ac:dyDescent="0.35">
      <c r="A372">
        <v>371</v>
      </c>
      <c r="B372">
        <v>22</v>
      </c>
      <c r="C372">
        <v>78</v>
      </c>
      <c r="D372">
        <v>170</v>
      </c>
      <c r="E372" t="s">
        <v>5</v>
      </c>
      <c r="F372" s="3">
        <v>429</v>
      </c>
      <c r="G372">
        <f>895-475</f>
        <v>420</v>
      </c>
      <c r="I372">
        <f>(F372-G372)/F372</f>
        <v>2.097902097902098E-2</v>
      </c>
      <c r="J372" s="6" t="s">
        <v>13</v>
      </c>
    </row>
    <row r="373" spans="1:10" x14ac:dyDescent="0.35">
      <c r="A373">
        <v>372</v>
      </c>
      <c r="B373">
        <v>22</v>
      </c>
      <c r="C373">
        <v>78</v>
      </c>
      <c r="D373">
        <v>170</v>
      </c>
      <c r="E373" t="s">
        <v>5</v>
      </c>
      <c r="F373" s="3">
        <v>397</v>
      </c>
      <c r="G373">
        <f>284-0</f>
        <v>284</v>
      </c>
      <c r="I373">
        <f>(F373-G373)/F373</f>
        <v>0.28463476070528965</v>
      </c>
      <c r="J373" s="6" t="s">
        <v>13</v>
      </c>
    </row>
    <row r="374" spans="1:10" x14ac:dyDescent="0.35">
      <c r="A374">
        <v>373</v>
      </c>
      <c r="B374">
        <v>22</v>
      </c>
      <c r="C374">
        <v>78</v>
      </c>
      <c r="D374">
        <v>170</v>
      </c>
      <c r="E374" t="s">
        <v>5</v>
      </c>
      <c r="F374" s="3">
        <v>397</v>
      </c>
      <c r="G374">
        <f>1181-791</f>
        <v>390</v>
      </c>
      <c r="I374">
        <f>(F374-G374)/F374</f>
        <v>1.7632241813602016E-2</v>
      </c>
      <c r="J374" s="6" t="s">
        <v>13</v>
      </c>
    </row>
    <row r="375" spans="1:10" x14ac:dyDescent="0.35">
      <c r="A375">
        <v>374</v>
      </c>
      <c r="B375">
        <v>22</v>
      </c>
      <c r="C375">
        <v>78</v>
      </c>
      <c r="D375">
        <v>170</v>
      </c>
      <c r="E375" t="s">
        <v>5</v>
      </c>
      <c r="F375" s="3">
        <v>390</v>
      </c>
      <c r="G375">
        <f>411-39</f>
        <v>372</v>
      </c>
      <c r="I375">
        <f>(F375-G375)/F375</f>
        <v>4.6153846153846156E-2</v>
      </c>
      <c r="J375" s="6" t="s">
        <v>13</v>
      </c>
    </row>
    <row r="376" spans="1:10" x14ac:dyDescent="0.35">
      <c r="A376">
        <v>375</v>
      </c>
      <c r="B376">
        <v>22</v>
      </c>
      <c r="C376">
        <v>78</v>
      </c>
      <c r="D376">
        <v>170</v>
      </c>
      <c r="E376" t="s">
        <v>5</v>
      </c>
      <c r="F376" s="3">
        <v>331</v>
      </c>
      <c r="G376">
        <f>544-181</f>
        <v>363</v>
      </c>
      <c r="I376">
        <f>(F376-G376)/F376</f>
        <v>-9.6676737160120846E-2</v>
      </c>
      <c r="J376" s="6" t="s">
        <v>13</v>
      </c>
    </row>
    <row r="377" spans="1:10" x14ac:dyDescent="0.35">
      <c r="A377">
        <v>376</v>
      </c>
      <c r="B377">
        <v>22</v>
      </c>
      <c r="C377">
        <v>78</v>
      </c>
      <c r="D377">
        <v>170</v>
      </c>
      <c r="E377" t="s">
        <v>5</v>
      </c>
      <c r="F377" s="3">
        <v>413</v>
      </c>
      <c r="G377">
        <f>1640-1221</f>
        <v>419</v>
      </c>
      <c r="I377">
        <f>(F377-G377)/F377</f>
        <v>-1.4527845036319613E-2</v>
      </c>
      <c r="J377" s="6" t="s">
        <v>13</v>
      </c>
    </row>
    <row r="378" spans="1:10" x14ac:dyDescent="0.35">
      <c r="A378">
        <v>377</v>
      </c>
      <c r="B378">
        <v>22</v>
      </c>
      <c r="C378">
        <v>78</v>
      </c>
      <c r="D378">
        <v>170</v>
      </c>
      <c r="E378" t="s">
        <v>5</v>
      </c>
      <c r="F378" s="3">
        <v>462</v>
      </c>
      <c r="G378">
        <f>742-423</f>
        <v>319</v>
      </c>
      <c r="I378">
        <f>(F378-G378)/F378</f>
        <v>0.30952380952380953</v>
      </c>
      <c r="J378" s="6" t="s">
        <v>13</v>
      </c>
    </row>
    <row r="379" spans="1:10" x14ac:dyDescent="0.35">
      <c r="A379">
        <v>378</v>
      </c>
      <c r="B379">
        <v>22</v>
      </c>
      <c r="C379">
        <v>78</v>
      </c>
      <c r="D379">
        <v>170</v>
      </c>
      <c r="E379" t="s">
        <v>5</v>
      </c>
      <c r="F379" s="3">
        <v>413</v>
      </c>
      <c r="G379">
        <f>382-0</f>
        <v>382</v>
      </c>
      <c r="I379">
        <f>(F379-G379)/F379</f>
        <v>7.5060532687651338E-2</v>
      </c>
      <c r="J379" s="6" t="s">
        <v>13</v>
      </c>
    </row>
    <row r="380" spans="1:10" x14ac:dyDescent="0.35">
      <c r="A380">
        <v>379</v>
      </c>
      <c r="B380">
        <v>22</v>
      </c>
      <c r="C380">
        <v>78</v>
      </c>
      <c r="D380">
        <v>170</v>
      </c>
      <c r="E380" t="s">
        <v>5</v>
      </c>
      <c r="F380" s="3">
        <v>332</v>
      </c>
      <c r="G380">
        <f>425-29</f>
        <v>396</v>
      </c>
      <c r="I380">
        <f>(F380-G380)/F380</f>
        <v>-0.19277108433734941</v>
      </c>
      <c r="J380" s="6" t="s">
        <v>13</v>
      </c>
    </row>
    <row r="381" spans="1:10" x14ac:dyDescent="0.35">
      <c r="A381">
        <v>380</v>
      </c>
      <c r="B381">
        <v>22</v>
      </c>
      <c r="C381">
        <v>78</v>
      </c>
      <c r="D381">
        <v>170</v>
      </c>
      <c r="E381" t="s">
        <v>5</v>
      </c>
      <c r="F381" s="3">
        <v>166</v>
      </c>
      <c r="G381">
        <f>502-111</f>
        <v>391</v>
      </c>
      <c r="I381">
        <f>(F381-G381)/F381</f>
        <v>-1.3554216867469879</v>
      </c>
      <c r="J381" s="6" t="s">
        <v>13</v>
      </c>
    </row>
    <row r="382" spans="1:10" x14ac:dyDescent="0.35">
      <c r="A382">
        <v>381</v>
      </c>
      <c r="B382">
        <v>22</v>
      </c>
      <c r="C382">
        <v>78</v>
      </c>
      <c r="D382">
        <v>170</v>
      </c>
      <c r="E382" t="s">
        <v>5</v>
      </c>
      <c r="F382" s="3">
        <v>397</v>
      </c>
      <c r="G382">
        <f>1354-958</f>
        <v>396</v>
      </c>
      <c r="I382">
        <f>(F382-G382)/F382</f>
        <v>2.5188916876574307E-3</v>
      </c>
      <c r="J382" s="6" t="s">
        <v>13</v>
      </c>
    </row>
    <row r="383" spans="1:10" x14ac:dyDescent="0.35">
      <c r="A383">
        <v>382</v>
      </c>
      <c r="B383">
        <v>22</v>
      </c>
      <c r="C383">
        <v>78</v>
      </c>
      <c r="D383">
        <v>170</v>
      </c>
      <c r="E383" t="s">
        <v>5</v>
      </c>
      <c r="F383" s="3">
        <v>412</v>
      </c>
      <c r="G383">
        <f>1193-781</f>
        <v>412</v>
      </c>
      <c r="I383">
        <f>(F383-G383)/F383</f>
        <v>0</v>
      </c>
      <c r="J383" s="6" t="s">
        <v>13</v>
      </c>
    </row>
    <row r="384" spans="1:10" x14ac:dyDescent="0.35">
      <c r="A384">
        <v>383</v>
      </c>
      <c r="B384">
        <v>22</v>
      </c>
      <c r="C384">
        <v>78</v>
      </c>
      <c r="D384">
        <v>170</v>
      </c>
      <c r="E384" t="s">
        <v>5</v>
      </c>
      <c r="F384" s="3">
        <v>364</v>
      </c>
      <c r="G384">
        <f>717-332</f>
        <v>385</v>
      </c>
      <c r="I384">
        <f>(F384-G384)/F384</f>
        <v>-5.7692307692307696E-2</v>
      </c>
      <c r="J384" s="6" t="s">
        <v>13</v>
      </c>
    </row>
    <row r="385" spans="1:10" x14ac:dyDescent="0.35">
      <c r="A385">
        <v>384</v>
      </c>
      <c r="B385">
        <v>22</v>
      </c>
      <c r="C385">
        <v>78</v>
      </c>
      <c r="D385">
        <v>170</v>
      </c>
      <c r="E385" t="s">
        <v>5</v>
      </c>
      <c r="F385" s="3">
        <v>397</v>
      </c>
      <c r="G385">
        <f>1314-958</f>
        <v>356</v>
      </c>
      <c r="I385">
        <f>(F385-G385)/F385</f>
        <v>0.10327455919395466</v>
      </c>
      <c r="J385" s="6" t="s">
        <v>13</v>
      </c>
    </row>
    <row r="386" spans="1:10" x14ac:dyDescent="0.35">
      <c r="A386">
        <v>385</v>
      </c>
      <c r="B386">
        <v>22</v>
      </c>
      <c r="C386">
        <v>78</v>
      </c>
      <c r="D386">
        <v>170</v>
      </c>
      <c r="E386" t="s">
        <v>5</v>
      </c>
      <c r="F386" s="3">
        <v>399</v>
      </c>
      <c r="G386">
        <f>781-379</f>
        <v>402</v>
      </c>
      <c r="I386">
        <f>(F386-G386)/F386</f>
        <v>-7.5187969924812026E-3</v>
      </c>
      <c r="J386" s="6" t="s">
        <v>13</v>
      </c>
    </row>
    <row r="387" spans="1:10" x14ac:dyDescent="0.35">
      <c r="A387">
        <v>386</v>
      </c>
      <c r="B387">
        <v>22</v>
      </c>
      <c r="C387">
        <v>78</v>
      </c>
      <c r="D387">
        <v>170</v>
      </c>
      <c r="E387" t="s">
        <v>5</v>
      </c>
      <c r="F387" s="3">
        <v>380</v>
      </c>
      <c r="G387">
        <f>450-94</f>
        <v>356</v>
      </c>
      <c r="I387">
        <f>(F387-G387)/F387</f>
        <v>6.3157894736842107E-2</v>
      </c>
      <c r="J387" s="6" t="s">
        <v>13</v>
      </c>
    </row>
    <row r="388" spans="1:10" x14ac:dyDescent="0.35">
      <c r="A388">
        <v>387</v>
      </c>
      <c r="B388">
        <v>22</v>
      </c>
      <c r="C388">
        <v>78</v>
      </c>
      <c r="D388">
        <v>170</v>
      </c>
      <c r="E388" t="s">
        <v>5</v>
      </c>
      <c r="F388" s="3">
        <v>397</v>
      </c>
      <c r="G388">
        <f>446-37</f>
        <v>409</v>
      </c>
      <c r="I388">
        <f>(F388-G388)/F388</f>
        <v>-3.0226700251889168E-2</v>
      </c>
      <c r="J388" s="6" t="s">
        <v>13</v>
      </c>
    </row>
    <row r="389" spans="1:10" x14ac:dyDescent="0.35">
      <c r="A389">
        <v>388</v>
      </c>
      <c r="B389">
        <v>22</v>
      </c>
      <c r="C389">
        <v>78</v>
      </c>
      <c r="D389">
        <v>170</v>
      </c>
      <c r="E389" t="s">
        <v>5</v>
      </c>
      <c r="F389" s="3">
        <v>396</v>
      </c>
      <c r="G389">
        <f>577-218</f>
        <v>359</v>
      </c>
      <c r="I389">
        <f>(F389-G389)/F389</f>
        <v>9.3434343434343439E-2</v>
      </c>
      <c r="J389" s="6" t="s">
        <v>13</v>
      </c>
    </row>
    <row r="390" spans="1:10" x14ac:dyDescent="0.35">
      <c r="A390">
        <v>389</v>
      </c>
      <c r="B390">
        <v>22</v>
      </c>
      <c r="C390">
        <v>78</v>
      </c>
      <c r="D390">
        <v>170</v>
      </c>
      <c r="E390" t="s">
        <v>5</v>
      </c>
      <c r="F390" s="3">
        <v>381</v>
      </c>
      <c r="G390">
        <f>295-0</f>
        <v>295</v>
      </c>
      <c r="I390">
        <f>(F390-G390)/F390</f>
        <v>0.22572178477690288</v>
      </c>
      <c r="J390" s="6" t="s">
        <v>13</v>
      </c>
    </row>
    <row r="391" spans="1:10" x14ac:dyDescent="0.35">
      <c r="A391">
        <v>390</v>
      </c>
      <c r="B391">
        <v>22</v>
      </c>
      <c r="C391">
        <v>78</v>
      </c>
      <c r="D391">
        <v>170</v>
      </c>
      <c r="E391" t="s">
        <v>5</v>
      </c>
      <c r="F391" s="3">
        <v>362</v>
      </c>
      <c r="G391">
        <f>580-202</f>
        <v>378</v>
      </c>
      <c r="I391">
        <f>(F391-G391)/F391</f>
        <v>-4.4198895027624308E-2</v>
      </c>
      <c r="J391" s="6" t="s">
        <v>13</v>
      </c>
    </row>
    <row r="392" spans="1:10" x14ac:dyDescent="0.35">
      <c r="A392">
        <v>391</v>
      </c>
      <c r="B392">
        <v>22</v>
      </c>
      <c r="C392">
        <v>78</v>
      </c>
      <c r="D392">
        <v>170</v>
      </c>
      <c r="E392" t="s">
        <v>5</v>
      </c>
      <c r="F392" s="3">
        <v>380</v>
      </c>
      <c r="G392">
        <f>610-241</f>
        <v>369</v>
      </c>
      <c r="I392">
        <f>(F392-G392)/F392</f>
        <v>2.8947368421052631E-2</v>
      </c>
      <c r="J392" s="6" t="s">
        <v>13</v>
      </c>
    </row>
    <row r="393" spans="1:10" x14ac:dyDescent="0.35">
      <c r="A393">
        <v>392</v>
      </c>
      <c r="B393">
        <v>22</v>
      </c>
      <c r="C393">
        <v>78</v>
      </c>
      <c r="D393">
        <v>170</v>
      </c>
      <c r="E393" t="s">
        <v>5</v>
      </c>
      <c r="F393" s="3">
        <v>381</v>
      </c>
      <c r="G393">
        <f>1360-1023</f>
        <v>337</v>
      </c>
      <c r="I393">
        <f>(F393-G393)/F393</f>
        <v>0.11548556430446194</v>
      </c>
      <c r="J393" s="6" t="s">
        <v>13</v>
      </c>
    </row>
    <row r="394" spans="1:10" x14ac:dyDescent="0.35">
      <c r="A394">
        <v>393</v>
      </c>
      <c r="B394">
        <v>22</v>
      </c>
      <c r="C394">
        <v>78</v>
      </c>
      <c r="D394">
        <v>170</v>
      </c>
      <c r="E394" t="s">
        <v>5</v>
      </c>
      <c r="F394" s="3">
        <v>396</v>
      </c>
      <c r="G394">
        <f>997-592</f>
        <v>405</v>
      </c>
      <c r="I394">
        <f>(F394-G394)/F394</f>
        <v>-2.2727272727272728E-2</v>
      </c>
      <c r="J394" s="6" t="s">
        <v>13</v>
      </c>
    </row>
    <row r="395" spans="1:10" x14ac:dyDescent="0.35">
      <c r="A395">
        <v>394</v>
      </c>
      <c r="B395">
        <v>22</v>
      </c>
      <c r="C395">
        <v>78</v>
      </c>
      <c r="D395">
        <v>170</v>
      </c>
      <c r="E395" t="s">
        <v>5</v>
      </c>
      <c r="F395" s="3">
        <v>346</v>
      </c>
      <c r="G395">
        <f>1469-1084</f>
        <v>385</v>
      </c>
      <c r="I395">
        <f>(F395-G395)/F395</f>
        <v>-0.11271676300578035</v>
      </c>
      <c r="J395" s="6" t="s">
        <v>13</v>
      </c>
    </row>
    <row r="396" spans="1:10" x14ac:dyDescent="0.35">
      <c r="A396">
        <v>395</v>
      </c>
      <c r="B396">
        <v>22</v>
      </c>
      <c r="C396">
        <v>78</v>
      </c>
      <c r="D396">
        <v>170</v>
      </c>
      <c r="E396" t="s">
        <v>5</v>
      </c>
      <c r="F396" s="3">
        <v>381</v>
      </c>
      <c r="G396">
        <f>493-90</f>
        <v>403</v>
      </c>
      <c r="I396">
        <f>(F396-G396)/F396</f>
        <v>-5.774278215223097E-2</v>
      </c>
      <c r="J396" s="6" t="s">
        <v>13</v>
      </c>
    </row>
    <row r="397" spans="1:10" x14ac:dyDescent="0.35">
      <c r="A397">
        <v>396</v>
      </c>
      <c r="B397">
        <v>22</v>
      </c>
      <c r="C397">
        <v>78</v>
      </c>
      <c r="D397">
        <v>170</v>
      </c>
      <c r="E397" t="s">
        <v>5</v>
      </c>
      <c r="F397" s="3">
        <v>396</v>
      </c>
      <c r="G397">
        <f>643-234</f>
        <v>409</v>
      </c>
      <c r="I397">
        <f>(F397-G397)/F397</f>
        <v>-3.2828282828282832E-2</v>
      </c>
      <c r="J397" s="6" t="s">
        <v>13</v>
      </c>
    </row>
    <row r="398" spans="1:10" x14ac:dyDescent="0.35">
      <c r="A398">
        <v>397</v>
      </c>
      <c r="B398">
        <v>22</v>
      </c>
      <c r="C398">
        <v>78</v>
      </c>
      <c r="D398">
        <v>170</v>
      </c>
      <c r="E398" t="s">
        <v>5</v>
      </c>
      <c r="F398" s="3">
        <v>380</v>
      </c>
      <c r="G398">
        <f>296-0</f>
        <v>296</v>
      </c>
      <c r="I398">
        <f>(F398-G398)/F398</f>
        <v>0.22105263157894736</v>
      </c>
      <c r="J398" s="6" t="s">
        <v>13</v>
      </c>
    </row>
    <row r="399" spans="1:10" x14ac:dyDescent="0.35">
      <c r="A399">
        <v>398</v>
      </c>
      <c r="B399">
        <v>22</v>
      </c>
      <c r="C399">
        <v>78</v>
      </c>
      <c r="D399">
        <v>170</v>
      </c>
      <c r="E399" t="s">
        <v>5</v>
      </c>
      <c r="F399" s="3">
        <v>413</v>
      </c>
      <c r="G399">
        <f>1308-954</f>
        <v>354</v>
      </c>
      <c r="I399">
        <f>(F399-G399)/F399</f>
        <v>0.14285714285714285</v>
      </c>
      <c r="J399" s="6" t="s">
        <v>13</v>
      </c>
    </row>
    <row r="400" spans="1:10" x14ac:dyDescent="0.35">
      <c r="A400">
        <v>399</v>
      </c>
      <c r="B400">
        <v>22</v>
      </c>
      <c r="C400">
        <v>78</v>
      </c>
      <c r="D400">
        <v>170</v>
      </c>
      <c r="E400" t="s">
        <v>5</v>
      </c>
      <c r="F400" s="3">
        <v>395</v>
      </c>
      <c r="G400">
        <f>408-15</f>
        <v>393</v>
      </c>
      <c r="I400">
        <f>(F400-G400)/F400</f>
        <v>5.0632911392405064E-3</v>
      </c>
      <c r="J400" s="6" t="s">
        <v>13</v>
      </c>
    </row>
    <row r="401" spans="1:10" x14ac:dyDescent="0.35">
      <c r="A401">
        <v>400</v>
      </c>
      <c r="B401">
        <v>22</v>
      </c>
      <c r="C401">
        <v>78</v>
      </c>
      <c r="D401">
        <v>170</v>
      </c>
      <c r="E401" t="s">
        <v>5</v>
      </c>
      <c r="F401" s="3">
        <v>396</v>
      </c>
      <c r="G401">
        <f>598-226</f>
        <v>372</v>
      </c>
      <c r="I401">
        <f>(F401-G401)/F401</f>
        <v>6.0606060606060608E-2</v>
      </c>
      <c r="J401" s="6" t="s">
        <v>13</v>
      </c>
    </row>
    <row r="402" spans="1:10" x14ac:dyDescent="0.35">
      <c r="A402">
        <v>401</v>
      </c>
      <c r="B402">
        <v>22</v>
      </c>
      <c r="C402">
        <v>78</v>
      </c>
      <c r="D402">
        <v>170</v>
      </c>
      <c r="E402" t="s">
        <v>5</v>
      </c>
      <c r="F402" s="3">
        <v>430</v>
      </c>
      <c r="G402">
        <f>877-474</f>
        <v>403</v>
      </c>
      <c r="I402">
        <f>(F402-G402)/F402</f>
        <v>6.2790697674418611E-2</v>
      </c>
      <c r="J402" s="6" t="s">
        <v>13</v>
      </c>
    </row>
    <row r="403" spans="1:10" x14ac:dyDescent="0.35">
      <c r="A403">
        <v>402</v>
      </c>
      <c r="B403">
        <v>22</v>
      </c>
      <c r="C403">
        <v>78</v>
      </c>
      <c r="D403">
        <v>170</v>
      </c>
      <c r="E403" t="s">
        <v>5</v>
      </c>
      <c r="F403" s="3">
        <v>384</v>
      </c>
      <c r="G403">
        <f>628-266</f>
        <v>362</v>
      </c>
      <c r="I403">
        <f>(F403-G403)/F403</f>
        <v>5.7291666666666664E-2</v>
      </c>
      <c r="J403" s="6" t="s">
        <v>13</v>
      </c>
    </row>
    <row r="404" spans="1:10" x14ac:dyDescent="0.35">
      <c r="A404">
        <v>403</v>
      </c>
      <c r="B404">
        <v>22</v>
      </c>
      <c r="C404">
        <v>78</v>
      </c>
      <c r="D404">
        <v>170</v>
      </c>
      <c r="E404" t="s">
        <v>5</v>
      </c>
      <c r="F404" s="3">
        <v>400</v>
      </c>
      <c r="G404">
        <f>1052-639</f>
        <v>413</v>
      </c>
      <c r="I404">
        <f>(F404-G404)/F404</f>
        <v>-3.2500000000000001E-2</v>
      </c>
      <c r="J404" s="6" t="s">
        <v>13</v>
      </c>
    </row>
    <row r="405" spans="1:10" x14ac:dyDescent="0.35">
      <c r="A405">
        <v>404</v>
      </c>
      <c r="B405">
        <v>22</v>
      </c>
      <c r="C405">
        <v>78</v>
      </c>
      <c r="D405">
        <v>170</v>
      </c>
      <c r="E405" t="s">
        <v>5</v>
      </c>
      <c r="F405" s="3">
        <v>417</v>
      </c>
      <c r="G405">
        <f>603-192</f>
        <v>411</v>
      </c>
      <c r="I405">
        <f>(F405-G405)/F405</f>
        <v>1.4388489208633094E-2</v>
      </c>
      <c r="J405" s="6" t="s">
        <v>13</v>
      </c>
    </row>
    <row r="406" spans="1:10" x14ac:dyDescent="0.35">
      <c r="A406">
        <v>405</v>
      </c>
      <c r="B406">
        <v>22</v>
      </c>
      <c r="C406">
        <v>78</v>
      </c>
      <c r="D406">
        <v>170</v>
      </c>
      <c r="E406" t="s">
        <v>5</v>
      </c>
      <c r="F406" s="3">
        <v>418</v>
      </c>
      <c r="G406">
        <f>875-487</f>
        <v>388</v>
      </c>
      <c r="I406">
        <f>(F406-G406)/F406</f>
        <v>7.1770334928229665E-2</v>
      </c>
      <c r="J406" s="6" t="s">
        <v>13</v>
      </c>
    </row>
    <row r="407" spans="1:10" x14ac:dyDescent="0.35">
      <c r="A407">
        <v>406</v>
      </c>
      <c r="B407">
        <v>22</v>
      </c>
      <c r="C407">
        <v>78</v>
      </c>
      <c r="D407">
        <v>170</v>
      </c>
      <c r="E407" t="s">
        <v>5</v>
      </c>
      <c r="F407" s="3">
        <v>382</v>
      </c>
      <c r="G407">
        <f>1042-688</f>
        <v>354</v>
      </c>
      <c r="I407">
        <f>(F407-G407)/F407</f>
        <v>7.3298429319371722E-2</v>
      </c>
      <c r="J407" s="6" t="s">
        <v>13</v>
      </c>
    </row>
    <row r="408" spans="1:10" x14ac:dyDescent="0.35">
      <c r="A408">
        <v>407</v>
      </c>
      <c r="B408">
        <v>22</v>
      </c>
      <c r="C408">
        <v>78</v>
      </c>
      <c r="D408">
        <v>170</v>
      </c>
      <c r="E408" t="s">
        <v>5</v>
      </c>
      <c r="F408" s="3">
        <v>380</v>
      </c>
      <c r="G408">
        <f>731-389</f>
        <v>342</v>
      </c>
      <c r="I408">
        <f>(F408-G408)/F408</f>
        <v>0.1</v>
      </c>
      <c r="J408" s="6" t="s">
        <v>13</v>
      </c>
    </row>
    <row r="409" spans="1:10" x14ac:dyDescent="0.35">
      <c r="A409">
        <v>408</v>
      </c>
      <c r="B409">
        <v>22</v>
      </c>
      <c r="C409">
        <v>78</v>
      </c>
      <c r="D409">
        <v>170</v>
      </c>
      <c r="E409" t="s">
        <v>5</v>
      </c>
      <c r="F409" s="3">
        <v>367</v>
      </c>
      <c r="G409">
        <f>1677-1277</f>
        <v>400</v>
      </c>
      <c r="I409">
        <f>(F409-G409)/F409</f>
        <v>-8.9918256130790186E-2</v>
      </c>
      <c r="J409" s="6" t="s">
        <v>13</v>
      </c>
    </row>
    <row r="410" spans="1:10" x14ac:dyDescent="0.35">
      <c r="A410">
        <v>409</v>
      </c>
      <c r="B410">
        <v>22</v>
      </c>
      <c r="C410">
        <v>78</v>
      </c>
      <c r="D410">
        <v>170</v>
      </c>
      <c r="E410" t="s">
        <v>5</v>
      </c>
      <c r="F410" s="3">
        <v>397</v>
      </c>
      <c r="G410">
        <f>1363-977</f>
        <v>386</v>
      </c>
      <c r="I410">
        <f>(F410-G410)/F410</f>
        <v>2.7707808564231738E-2</v>
      </c>
      <c r="J410" s="6" t="s">
        <v>13</v>
      </c>
    </row>
    <row r="411" spans="1:10" x14ac:dyDescent="0.35">
      <c r="A411">
        <v>410</v>
      </c>
      <c r="B411">
        <v>22</v>
      </c>
      <c r="C411">
        <v>78</v>
      </c>
      <c r="D411">
        <v>170</v>
      </c>
      <c r="E411" t="s">
        <v>5</v>
      </c>
      <c r="F411" s="3">
        <v>415</v>
      </c>
      <c r="G411">
        <f>581-160</f>
        <v>421</v>
      </c>
      <c r="I411">
        <f>(F411-G411)/F411</f>
        <v>-1.4457831325301205E-2</v>
      </c>
      <c r="J411" s="6" t="s">
        <v>13</v>
      </c>
    </row>
    <row r="412" spans="1:10" x14ac:dyDescent="0.35">
      <c r="A412">
        <v>411</v>
      </c>
      <c r="B412">
        <v>22</v>
      </c>
      <c r="C412">
        <v>78</v>
      </c>
      <c r="D412">
        <v>170</v>
      </c>
      <c r="E412" t="s">
        <v>5</v>
      </c>
      <c r="F412" s="3">
        <v>449</v>
      </c>
      <c r="G412">
        <f>936-604</f>
        <v>332</v>
      </c>
      <c r="I412">
        <f>(F412-G412)/F412</f>
        <v>0.26057906458797325</v>
      </c>
      <c r="J412" s="6" t="s">
        <v>13</v>
      </c>
    </row>
    <row r="413" spans="1:10" x14ac:dyDescent="0.35">
      <c r="A413">
        <v>412</v>
      </c>
      <c r="B413">
        <v>22</v>
      </c>
      <c r="C413">
        <v>78</v>
      </c>
      <c r="D413">
        <v>170</v>
      </c>
      <c r="E413" t="s">
        <v>5</v>
      </c>
      <c r="F413" s="3">
        <v>348</v>
      </c>
      <c r="G413">
        <f>835-485</f>
        <v>350</v>
      </c>
      <c r="I413">
        <f>(F413-G413)/F413</f>
        <v>-5.7471264367816091E-3</v>
      </c>
      <c r="J413" s="6" t="s">
        <v>13</v>
      </c>
    </row>
    <row r="414" spans="1:10" x14ac:dyDescent="0.35">
      <c r="A414">
        <v>413</v>
      </c>
      <c r="B414">
        <v>22</v>
      </c>
      <c r="C414">
        <v>78</v>
      </c>
      <c r="D414">
        <v>170</v>
      </c>
      <c r="E414" t="s">
        <v>5</v>
      </c>
      <c r="F414" s="3">
        <v>415</v>
      </c>
      <c r="G414">
        <f>703-305</f>
        <v>398</v>
      </c>
      <c r="I414">
        <f>(F414-G414)/F414</f>
        <v>4.0963855421686748E-2</v>
      </c>
      <c r="J414" s="6" t="s">
        <v>13</v>
      </c>
    </row>
    <row r="415" spans="1:10" x14ac:dyDescent="0.35">
      <c r="A415">
        <v>414</v>
      </c>
      <c r="B415">
        <v>22</v>
      </c>
      <c r="C415">
        <v>78</v>
      </c>
      <c r="D415">
        <v>170</v>
      </c>
      <c r="E415" t="s">
        <v>5</v>
      </c>
      <c r="F415" s="3">
        <v>398</v>
      </c>
      <c r="G415">
        <f>2088-1729</f>
        <v>359</v>
      </c>
      <c r="I415">
        <f>(F415-G415)/F415</f>
        <v>9.7989949748743713E-2</v>
      </c>
      <c r="J415" s="6" t="s">
        <v>13</v>
      </c>
    </row>
    <row r="416" spans="1:10" x14ac:dyDescent="0.35">
      <c r="A416">
        <v>415</v>
      </c>
      <c r="B416">
        <v>22</v>
      </c>
      <c r="C416">
        <v>78</v>
      </c>
      <c r="D416">
        <v>170</v>
      </c>
      <c r="E416" t="s">
        <v>5</v>
      </c>
      <c r="F416" s="3">
        <v>414</v>
      </c>
      <c r="G416">
        <f>1247-856</f>
        <v>391</v>
      </c>
      <c r="I416">
        <f>(F416-G416)/F416</f>
        <v>5.5555555555555552E-2</v>
      </c>
      <c r="J416" s="6" t="s">
        <v>13</v>
      </c>
    </row>
    <row r="417" spans="1:10" x14ac:dyDescent="0.35">
      <c r="A417">
        <v>416</v>
      </c>
      <c r="B417">
        <v>22</v>
      </c>
      <c r="C417">
        <v>78</v>
      </c>
      <c r="D417">
        <v>170</v>
      </c>
      <c r="E417" t="s">
        <v>5</v>
      </c>
      <c r="F417" s="3">
        <v>382</v>
      </c>
      <c r="G417">
        <f>406-28</f>
        <v>378</v>
      </c>
      <c r="I417">
        <f>(F417-G417)/F417</f>
        <v>1.0471204188481676E-2</v>
      </c>
      <c r="J417" s="6" t="s">
        <v>13</v>
      </c>
    </row>
    <row r="418" spans="1:10" hidden="1" x14ac:dyDescent="0.35">
      <c r="A418">
        <v>417</v>
      </c>
      <c r="B418">
        <v>22</v>
      </c>
      <c r="C418">
        <v>78</v>
      </c>
      <c r="D418">
        <v>170</v>
      </c>
      <c r="E418" t="s">
        <v>5</v>
      </c>
      <c r="F418" s="4">
        <v>82</v>
      </c>
      <c r="G418">
        <f>889-512</f>
        <v>377</v>
      </c>
      <c r="H418" t="s">
        <v>8</v>
      </c>
      <c r="I418">
        <f>(F418-G418)/F418</f>
        <v>-3.5975609756097562</v>
      </c>
      <c r="J418" s="6" t="s">
        <v>13</v>
      </c>
    </row>
    <row r="419" spans="1:10" x14ac:dyDescent="0.35">
      <c r="A419">
        <v>418</v>
      </c>
      <c r="B419">
        <v>22</v>
      </c>
      <c r="C419">
        <v>78</v>
      </c>
      <c r="D419">
        <v>170</v>
      </c>
      <c r="E419" t="s">
        <v>5</v>
      </c>
      <c r="F419" s="3">
        <v>430</v>
      </c>
      <c r="G419">
        <f>1938-1563</f>
        <v>375</v>
      </c>
      <c r="I419">
        <f>(F419-G419)/F419</f>
        <v>0.12790697674418605</v>
      </c>
      <c r="J419" s="6" t="s">
        <v>13</v>
      </c>
    </row>
    <row r="420" spans="1:10" x14ac:dyDescent="0.35">
      <c r="A420">
        <v>419</v>
      </c>
      <c r="B420">
        <v>22</v>
      </c>
      <c r="C420">
        <v>78</v>
      </c>
      <c r="D420">
        <v>170</v>
      </c>
      <c r="E420" t="s">
        <v>5</v>
      </c>
      <c r="F420" s="3">
        <v>408</v>
      </c>
      <c r="G420">
        <f>884-509</f>
        <v>375</v>
      </c>
      <c r="I420">
        <f>(F420-G420)/F420</f>
        <v>8.0882352941176475E-2</v>
      </c>
      <c r="J420" s="6" t="s">
        <v>13</v>
      </c>
    </row>
    <row r="421" spans="1:10" x14ac:dyDescent="0.35">
      <c r="A421">
        <v>420</v>
      </c>
      <c r="B421">
        <v>22</v>
      </c>
      <c r="C421">
        <v>78</v>
      </c>
      <c r="D421">
        <v>170</v>
      </c>
      <c r="E421" t="s">
        <v>5</v>
      </c>
      <c r="F421" s="3">
        <v>398</v>
      </c>
      <c r="G421">
        <f>1333-969</f>
        <v>364</v>
      </c>
      <c r="I421">
        <f>(F421-G421)/F421</f>
        <v>8.5427135678391955E-2</v>
      </c>
      <c r="J421" s="6" t="s">
        <v>13</v>
      </c>
    </row>
    <row r="422" spans="1:10" x14ac:dyDescent="0.35">
      <c r="A422">
        <v>421</v>
      </c>
      <c r="B422">
        <v>22</v>
      </c>
      <c r="C422">
        <v>78</v>
      </c>
      <c r="D422">
        <v>170</v>
      </c>
      <c r="E422" t="s">
        <v>5</v>
      </c>
      <c r="F422" s="3">
        <v>398</v>
      </c>
      <c r="G422">
        <f>785-398</f>
        <v>387</v>
      </c>
      <c r="I422">
        <f>(F422-G422)/F422</f>
        <v>2.7638190954773871E-2</v>
      </c>
      <c r="J422" s="6" t="s">
        <v>13</v>
      </c>
    </row>
    <row r="423" spans="1:10" x14ac:dyDescent="0.35">
      <c r="A423">
        <v>422</v>
      </c>
      <c r="B423">
        <v>22</v>
      </c>
      <c r="C423">
        <v>78</v>
      </c>
      <c r="D423">
        <v>170</v>
      </c>
      <c r="E423" t="s">
        <v>5</v>
      </c>
      <c r="F423" s="3">
        <v>412</v>
      </c>
      <c r="G423">
        <f>698-309</f>
        <v>389</v>
      </c>
      <c r="I423">
        <f>(F423-G423)/F423</f>
        <v>5.5825242718446605E-2</v>
      </c>
      <c r="J423" s="6" t="s">
        <v>13</v>
      </c>
    </row>
    <row r="424" spans="1:10" x14ac:dyDescent="0.35">
      <c r="A424">
        <v>423</v>
      </c>
      <c r="B424">
        <v>22</v>
      </c>
      <c r="C424">
        <v>78</v>
      </c>
      <c r="D424">
        <v>170</v>
      </c>
      <c r="E424" t="s">
        <v>5</v>
      </c>
      <c r="F424" s="3">
        <v>399</v>
      </c>
      <c r="G424">
        <f>1493-1107</f>
        <v>386</v>
      </c>
      <c r="I424">
        <f>(F424-G424)/F424</f>
        <v>3.2581453634085211E-2</v>
      </c>
      <c r="J424" s="6" t="s">
        <v>13</v>
      </c>
    </row>
    <row r="425" spans="1:10" x14ac:dyDescent="0.35">
      <c r="A425">
        <v>424</v>
      </c>
      <c r="B425">
        <v>22</v>
      </c>
      <c r="C425">
        <v>78</v>
      </c>
      <c r="D425">
        <v>170</v>
      </c>
      <c r="E425" t="s">
        <v>5</v>
      </c>
      <c r="F425" s="3">
        <v>431</v>
      </c>
      <c r="G425">
        <f>1153-767</f>
        <v>386</v>
      </c>
      <c r="I425">
        <f>(F425-G425)/F425</f>
        <v>0.10440835266821345</v>
      </c>
      <c r="J425" s="6" t="s">
        <v>13</v>
      </c>
    </row>
    <row r="426" spans="1:10" x14ac:dyDescent="0.35">
      <c r="A426">
        <v>425</v>
      </c>
      <c r="B426">
        <v>22</v>
      </c>
      <c r="C426">
        <v>78</v>
      </c>
      <c r="D426">
        <v>170</v>
      </c>
      <c r="E426" t="s">
        <v>5</v>
      </c>
      <c r="F426" s="3">
        <v>381</v>
      </c>
      <c r="G426">
        <f>1452-1029</f>
        <v>423</v>
      </c>
      <c r="I426">
        <f>(F426-G426)/F426</f>
        <v>-0.11023622047244094</v>
      </c>
      <c r="J426" s="6" t="s">
        <v>13</v>
      </c>
    </row>
    <row r="427" spans="1:10" x14ac:dyDescent="0.35">
      <c r="A427">
        <v>426</v>
      </c>
      <c r="B427">
        <v>22</v>
      </c>
      <c r="C427">
        <v>78</v>
      </c>
      <c r="D427">
        <v>170</v>
      </c>
      <c r="E427" t="s">
        <v>5</v>
      </c>
      <c r="F427" s="3">
        <v>380</v>
      </c>
      <c r="G427">
        <f>1573-1191</f>
        <v>382</v>
      </c>
      <c r="I427">
        <f>(F427-G427)/F427</f>
        <v>-5.263157894736842E-3</v>
      </c>
      <c r="J427" s="6" t="s">
        <v>13</v>
      </c>
    </row>
    <row r="428" spans="1:10" x14ac:dyDescent="0.35">
      <c r="A428">
        <v>427</v>
      </c>
      <c r="B428">
        <v>22</v>
      </c>
      <c r="C428">
        <v>78</v>
      </c>
      <c r="D428">
        <v>170</v>
      </c>
      <c r="E428" t="s">
        <v>5</v>
      </c>
      <c r="F428" s="3">
        <v>382</v>
      </c>
      <c r="G428">
        <f>1635-1252</f>
        <v>383</v>
      </c>
      <c r="I428">
        <f>(F428-G428)/F428</f>
        <v>-2.617801047120419E-3</v>
      </c>
      <c r="J428" s="6" t="s">
        <v>13</v>
      </c>
    </row>
    <row r="429" spans="1:10" x14ac:dyDescent="0.35">
      <c r="A429">
        <v>428</v>
      </c>
      <c r="B429">
        <v>22</v>
      </c>
      <c r="C429">
        <v>78</v>
      </c>
      <c r="D429">
        <v>170</v>
      </c>
      <c r="E429" t="s">
        <v>5</v>
      </c>
      <c r="F429" s="3">
        <v>415</v>
      </c>
      <c r="G429">
        <f>1059-659</f>
        <v>400</v>
      </c>
      <c r="I429">
        <f>(F429-G429)/F429</f>
        <v>3.614457831325301E-2</v>
      </c>
      <c r="J429" s="6" t="s">
        <v>13</v>
      </c>
    </row>
    <row r="430" spans="1:10" x14ac:dyDescent="0.35">
      <c r="A430">
        <v>429</v>
      </c>
      <c r="B430">
        <v>22</v>
      </c>
      <c r="C430">
        <v>78</v>
      </c>
      <c r="D430">
        <v>170</v>
      </c>
      <c r="E430" t="s">
        <v>5</v>
      </c>
      <c r="F430" s="3">
        <v>412</v>
      </c>
      <c r="G430">
        <f>1135-787</f>
        <v>348</v>
      </c>
      <c r="I430">
        <f>(F430-G430)/F430</f>
        <v>0.1553398058252427</v>
      </c>
      <c r="J430" s="6" t="s">
        <v>13</v>
      </c>
    </row>
    <row r="431" spans="1:10" x14ac:dyDescent="0.35">
      <c r="A431">
        <v>430</v>
      </c>
      <c r="B431">
        <v>22</v>
      </c>
      <c r="C431">
        <v>78</v>
      </c>
      <c r="D431">
        <v>170</v>
      </c>
      <c r="E431" t="s">
        <v>5</v>
      </c>
      <c r="F431" s="3">
        <v>396</v>
      </c>
      <c r="G431">
        <f>427-0</f>
        <v>427</v>
      </c>
      <c r="I431">
        <f>(F431-G431)/F431</f>
        <v>-7.8282828282828287E-2</v>
      </c>
      <c r="J431" s="6" t="s">
        <v>13</v>
      </c>
    </row>
    <row r="432" spans="1:10" x14ac:dyDescent="0.35">
      <c r="A432">
        <v>431</v>
      </c>
      <c r="B432">
        <v>22</v>
      </c>
      <c r="C432">
        <v>78</v>
      </c>
      <c r="D432">
        <v>170</v>
      </c>
      <c r="E432" t="s">
        <v>5</v>
      </c>
      <c r="F432" s="3">
        <v>399</v>
      </c>
      <c r="G432">
        <f>1120-690</f>
        <v>430</v>
      </c>
      <c r="I432">
        <f>(F432-G432)/F432</f>
        <v>-7.7694235588972427E-2</v>
      </c>
      <c r="J432" s="6" t="s">
        <v>13</v>
      </c>
    </row>
    <row r="433" spans="1:10" x14ac:dyDescent="0.35">
      <c r="A433">
        <v>432</v>
      </c>
      <c r="B433">
        <v>22</v>
      </c>
      <c r="C433">
        <v>78</v>
      </c>
      <c r="D433">
        <v>170</v>
      </c>
      <c r="E433" t="s">
        <v>5</v>
      </c>
      <c r="F433" s="3">
        <v>414</v>
      </c>
      <c r="G433">
        <f>844-424</f>
        <v>420</v>
      </c>
      <c r="I433">
        <f>(F433-G433)/F433</f>
        <v>-1.4492753623188406E-2</v>
      </c>
      <c r="J433" s="6" t="s">
        <v>13</v>
      </c>
    </row>
    <row r="434" spans="1:10" x14ac:dyDescent="0.35">
      <c r="A434">
        <v>433</v>
      </c>
      <c r="B434">
        <v>22</v>
      </c>
      <c r="C434">
        <v>78</v>
      </c>
      <c r="D434">
        <v>170</v>
      </c>
      <c r="E434" t="s">
        <v>5</v>
      </c>
      <c r="F434" s="3">
        <v>380</v>
      </c>
      <c r="G434">
        <f>1416-1000</f>
        <v>416</v>
      </c>
      <c r="I434">
        <f>(F434-G434)/F434</f>
        <v>-9.4736842105263161E-2</v>
      </c>
      <c r="J434" s="6" t="s">
        <v>13</v>
      </c>
    </row>
    <row r="435" spans="1:10" x14ac:dyDescent="0.35">
      <c r="A435">
        <v>434</v>
      </c>
      <c r="B435">
        <v>22</v>
      </c>
      <c r="C435">
        <v>78</v>
      </c>
      <c r="D435">
        <v>170</v>
      </c>
      <c r="E435" t="s">
        <v>5</v>
      </c>
      <c r="F435" s="3">
        <v>398</v>
      </c>
      <c r="G435">
        <f>816-404</f>
        <v>412</v>
      </c>
      <c r="I435">
        <f>(F435-G435)/F435</f>
        <v>-3.5175879396984924E-2</v>
      </c>
      <c r="J435" s="6" t="s">
        <v>13</v>
      </c>
    </row>
    <row r="436" spans="1:10" x14ac:dyDescent="0.35">
      <c r="A436">
        <v>435</v>
      </c>
      <c r="B436">
        <v>22</v>
      </c>
      <c r="C436">
        <v>78</v>
      </c>
      <c r="D436">
        <v>170</v>
      </c>
      <c r="E436" t="s">
        <v>5</v>
      </c>
      <c r="F436" s="3">
        <v>359</v>
      </c>
      <c r="G436">
        <f>422-53</f>
        <v>369</v>
      </c>
      <c r="I436">
        <f>(F436-G436)/F436</f>
        <v>-2.7855153203342618E-2</v>
      </c>
      <c r="J436" s="6" t="s">
        <v>13</v>
      </c>
    </row>
    <row r="437" spans="1:10" x14ac:dyDescent="0.35">
      <c r="A437">
        <v>436</v>
      </c>
      <c r="B437">
        <v>22</v>
      </c>
      <c r="C437">
        <v>78</v>
      </c>
      <c r="D437">
        <v>170</v>
      </c>
      <c r="E437" t="s">
        <v>5</v>
      </c>
      <c r="F437" s="3">
        <v>397</v>
      </c>
      <c r="G437">
        <f>1181-758</f>
        <v>423</v>
      </c>
      <c r="I437">
        <f>(F437-G437)/F437</f>
        <v>-6.5491183879093195E-2</v>
      </c>
      <c r="J437" s="6" t="s">
        <v>13</v>
      </c>
    </row>
    <row r="438" spans="1:10" x14ac:dyDescent="0.35">
      <c r="A438">
        <v>437</v>
      </c>
      <c r="B438">
        <v>22</v>
      </c>
      <c r="C438">
        <v>78</v>
      </c>
      <c r="D438">
        <v>170</v>
      </c>
      <c r="E438" t="s">
        <v>5</v>
      </c>
      <c r="F438" s="3">
        <v>397</v>
      </c>
      <c r="G438">
        <f>667-262</f>
        <v>405</v>
      </c>
      <c r="I438">
        <f>(F438-G438)/F438</f>
        <v>-2.0151133501259445E-2</v>
      </c>
      <c r="J438" s="6" t="s">
        <v>13</v>
      </c>
    </row>
    <row r="439" spans="1:10" x14ac:dyDescent="0.35">
      <c r="A439">
        <v>438</v>
      </c>
      <c r="B439">
        <v>22</v>
      </c>
      <c r="C439">
        <v>78</v>
      </c>
      <c r="D439">
        <v>170</v>
      </c>
      <c r="E439" t="s">
        <v>5</v>
      </c>
      <c r="F439" s="3">
        <v>381</v>
      </c>
      <c r="G439">
        <f>435-0</f>
        <v>435</v>
      </c>
      <c r="I439">
        <f>(F439-G439)/F439</f>
        <v>-0.14173228346456693</v>
      </c>
      <c r="J439" s="6" t="s">
        <v>13</v>
      </c>
    </row>
    <row r="440" spans="1:10" x14ac:dyDescent="0.35">
      <c r="A440">
        <v>439</v>
      </c>
      <c r="B440">
        <v>22</v>
      </c>
      <c r="C440">
        <v>78</v>
      </c>
      <c r="D440">
        <v>170</v>
      </c>
      <c r="E440" t="s">
        <v>5</v>
      </c>
      <c r="F440" s="3">
        <v>395</v>
      </c>
      <c r="G440">
        <f>829-457</f>
        <v>372</v>
      </c>
      <c r="I440">
        <f>(F440-G440)/F440</f>
        <v>5.8227848101265821E-2</v>
      </c>
      <c r="J440" s="6" t="s">
        <v>13</v>
      </c>
    </row>
    <row r="441" spans="1:10" x14ac:dyDescent="0.35">
      <c r="A441">
        <v>440</v>
      </c>
      <c r="B441">
        <v>22</v>
      </c>
      <c r="C441">
        <v>78</v>
      </c>
      <c r="D441">
        <v>170</v>
      </c>
      <c r="E441" t="s">
        <v>5</v>
      </c>
      <c r="F441" s="3">
        <v>413</v>
      </c>
      <c r="G441">
        <f>396-0</f>
        <v>396</v>
      </c>
      <c r="I441">
        <f>(F441-G441)/F441</f>
        <v>4.1162227602905568E-2</v>
      </c>
      <c r="J441" s="6" t="s">
        <v>13</v>
      </c>
    </row>
    <row r="442" spans="1:10" x14ac:dyDescent="0.35">
      <c r="A442">
        <v>441</v>
      </c>
      <c r="B442">
        <v>22</v>
      </c>
      <c r="C442">
        <v>78</v>
      </c>
      <c r="D442">
        <v>170</v>
      </c>
      <c r="E442" t="s">
        <v>5</v>
      </c>
      <c r="F442" s="3">
        <v>397</v>
      </c>
      <c r="G442">
        <f>1200-841</f>
        <v>359</v>
      </c>
      <c r="I442">
        <f>(F442-G442)/F442</f>
        <v>9.5717884130982367E-2</v>
      </c>
      <c r="J442" s="6" t="s">
        <v>13</v>
      </c>
    </row>
    <row r="443" spans="1:10" x14ac:dyDescent="0.35">
      <c r="A443">
        <v>442</v>
      </c>
      <c r="B443">
        <v>22</v>
      </c>
      <c r="C443">
        <v>78</v>
      </c>
      <c r="D443">
        <v>170</v>
      </c>
      <c r="E443" t="s">
        <v>5</v>
      </c>
      <c r="F443" s="3">
        <v>364</v>
      </c>
      <c r="G443">
        <f>1046-684</f>
        <v>362</v>
      </c>
      <c r="I443">
        <f>(F443-G443)/F443</f>
        <v>5.4945054945054949E-3</v>
      </c>
      <c r="J443" s="6" t="s">
        <v>13</v>
      </c>
    </row>
    <row r="444" spans="1:10" x14ac:dyDescent="0.35">
      <c r="A444">
        <v>443</v>
      </c>
      <c r="B444">
        <v>22</v>
      </c>
      <c r="C444">
        <v>78</v>
      </c>
      <c r="D444">
        <v>170</v>
      </c>
      <c r="E444" t="s">
        <v>5</v>
      </c>
      <c r="F444" s="3">
        <v>414</v>
      </c>
      <c r="G444">
        <f>961-608</f>
        <v>353</v>
      </c>
      <c r="I444">
        <f>(F444-G444)/F444</f>
        <v>0.14734299516908211</v>
      </c>
      <c r="J444" s="6" t="s">
        <v>13</v>
      </c>
    </row>
    <row r="445" spans="1:10" x14ac:dyDescent="0.35">
      <c r="A445">
        <v>444</v>
      </c>
      <c r="B445">
        <v>22</v>
      </c>
      <c r="C445">
        <v>78</v>
      </c>
      <c r="D445">
        <v>170</v>
      </c>
      <c r="E445" t="s">
        <v>5</v>
      </c>
      <c r="F445" s="3">
        <v>365</v>
      </c>
      <c r="G445">
        <f>483-60</f>
        <v>423</v>
      </c>
      <c r="I445">
        <f>(F445-G445)/F445</f>
        <v>-0.15890410958904111</v>
      </c>
      <c r="J445" s="6" t="s">
        <v>13</v>
      </c>
    </row>
    <row r="446" spans="1:10" x14ac:dyDescent="0.35">
      <c r="A446">
        <v>445</v>
      </c>
      <c r="B446">
        <v>22</v>
      </c>
      <c r="C446">
        <v>78</v>
      </c>
      <c r="D446">
        <v>170</v>
      </c>
      <c r="E446" t="s">
        <v>5</v>
      </c>
      <c r="F446" s="3">
        <v>397</v>
      </c>
      <c r="G446">
        <f>670-277</f>
        <v>393</v>
      </c>
      <c r="I446">
        <f>(F446-G446)/F446</f>
        <v>1.0075566750629723E-2</v>
      </c>
      <c r="J446" s="6" t="s">
        <v>13</v>
      </c>
    </row>
    <row r="447" spans="1:10" x14ac:dyDescent="0.35">
      <c r="A447">
        <v>446</v>
      </c>
      <c r="B447">
        <v>22</v>
      </c>
      <c r="C447">
        <v>78</v>
      </c>
      <c r="D447">
        <v>170</v>
      </c>
      <c r="E447" t="s">
        <v>5</v>
      </c>
      <c r="F447" s="3">
        <v>430</v>
      </c>
      <c r="G447">
        <f>1780-1400</f>
        <v>380</v>
      </c>
      <c r="I447">
        <f>(F447-G447)/F447</f>
        <v>0.11627906976744186</v>
      </c>
      <c r="J447" s="6" t="s">
        <v>13</v>
      </c>
    </row>
    <row r="448" spans="1:10" x14ac:dyDescent="0.35">
      <c r="A448">
        <v>447</v>
      </c>
      <c r="B448">
        <v>22</v>
      </c>
      <c r="C448">
        <v>78</v>
      </c>
      <c r="D448">
        <v>170</v>
      </c>
      <c r="E448" t="s">
        <v>5</v>
      </c>
      <c r="F448" s="3">
        <v>368</v>
      </c>
      <c r="G448">
        <f>985-607</f>
        <v>378</v>
      </c>
      <c r="I448">
        <f>(F448-G448)/F448</f>
        <v>-2.717391304347826E-2</v>
      </c>
      <c r="J448" s="6" t="s">
        <v>13</v>
      </c>
    </row>
    <row r="449" spans="1:10" x14ac:dyDescent="0.35">
      <c r="A449">
        <v>448</v>
      </c>
      <c r="B449">
        <v>22</v>
      </c>
      <c r="C449">
        <v>78</v>
      </c>
      <c r="D449">
        <v>170</v>
      </c>
      <c r="E449" t="s">
        <v>5</v>
      </c>
      <c r="F449" s="3">
        <v>412</v>
      </c>
      <c r="G449">
        <f>922-524</f>
        <v>398</v>
      </c>
      <c r="I449">
        <f>(F449-G449)/F449</f>
        <v>3.3980582524271843E-2</v>
      </c>
      <c r="J449" s="6" t="s">
        <v>13</v>
      </c>
    </row>
    <row r="450" spans="1:10" x14ac:dyDescent="0.35">
      <c r="A450">
        <v>449</v>
      </c>
      <c r="B450">
        <v>22</v>
      </c>
      <c r="C450">
        <v>78</v>
      </c>
      <c r="D450">
        <v>170</v>
      </c>
      <c r="E450" t="s">
        <v>5</v>
      </c>
      <c r="F450" s="3">
        <v>344</v>
      </c>
      <c r="G450">
        <f>1965-1588</f>
        <v>377</v>
      </c>
      <c r="I450">
        <f>(F450-G450)/F450</f>
        <v>-9.5930232558139539E-2</v>
      </c>
      <c r="J450" s="6" t="s">
        <v>13</v>
      </c>
    </row>
    <row r="451" spans="1:10" x14ac:dyDescent="0.35">
      <c r="A451">
        <v>450</v>
      </c>
      <c r="B451">
        <v>22</v>
      </c>
      <c r="C451">
        <v>78</v>
      </c>
      <c r="D451">
        <v>170</v>
      </c>
      <c r="E451" t="s">
        <v>5</v>
      </c>
      <c r="F451" s="3">
        <v>380</v>
      </c>
      <c r="G451">
        <f>1185-803</f>
        <v>382</v>
      </c>
      <c r="I451">
        <f>(F451-G451)/F451</f>
        <v>-5.263157894736842E-3</v>
      </c>
      <c r="J451" s="6" t="s">
        <v>13</v>
      </c>
    </row>
    <row r="452" spans="1:10" x14ac:dyDescent="0.35">
      <c r="A452">
        <v>451</v>
      </c>
      <c r="B452">
        <v>22</v>
      </c>
      <c r="C452">
        <v>78</v>
      </c>
      <c r="D452">
        <v>170</v>
      </c>
      <c r="E452" t="s">
        <v>5</v>
      </c>
      <c r="F452" s="3">
        <v>380</v>
      </c>
      <c r="G452">
        <f>488-112</f>
        <v>376</v>
      </c>
      <c r="I452">
        <f>(F452-G452)/F452</f>
        <v>1.0526315789473684E-2</v>
      </c>
      <c r="J452" s="6" t="s">
        <v>13</v>
      </c>
    </row>
    <row r="453" spans="1:10" x14ac:dyDescent="0.35">
      <c r="A453">
        <v>452</v>
      </c>
      <c r="B453">
        <v>22</v>
      </c>
      <c r="C453">
        <v>78</v>
      </c>
      <c r="D453">
        <v>170</v>
      </c>
      <c r="E453" t="s">
        <v>5</v>
      </c>
      <c r="F453" s="3">
        <v>394</v>
      </c>
      <c r="G453">
        <f>537-167</f>
        <v>370</v>
      </c>
      <c r="I453">
        <f>(F453-G453)/F453</f>
        <v>6.0913705583756347E-2</v>
      </c>
      <c r="J453" s="6" t="s">
        <v>13</v>
      </c>
    </row>
    <row r="454" spans="1:10" x14ac:dyDescent="0.35">
      <c r="A454">
        <v>453</v>
      </c>
      <c r="B454">
        <v>22</v>
      </c>
      <c r="C454">
        <v>78</v>
      </c>
      <c r="D454">
        <v>170</v>
      </c>
      <c r="E454" t="s">
        <v>5</v>
      </c>
      <c r="F454" s="3">
        <v>364</v>
      </c>
      <c r="G454">
        <f>366-0</f>
        <v>366</v>
      </c>
      <c r="I454">
        <f>(F454-G454)/F454</f>
        <v>-5.4945054945054949E-3</v>
      </c>
      <c r="J454" s="6" t="s">
        <v>13</v>
      </c>
    </row>
    <row r="455" spans="1:10" x14ac:dyDescent="0.35">
      <c r="A455">
        <v>454</v>
      </c>
      <c r="B455">
        <v>22</v>
      </c>
      <c r="C455">
        <v>78</v>
      </c>
      <c r="D455">
        <v>170</v>
      </c>
      <c r="E455" t="s">
        <v>5</v>
      </c>
      <c r="F455" s="3">
        <v>380</v>
      </c>
      <c r="G455">
        <f>2086-1696</f>
        <v>390</v>
      </c>
      <c r="I455">
        <f>(F455-G455)/F455</f>
        <v>-2.6315789473684209E-2</v>
      </c>
      <c r="J455" s="6" t="s">
        <v>13</v>
      </c>
    </row>
    <row r="456" spans="1:10" x14ac:dyDescent="0.35">
      <c r="A456">
        <v>455</v>
      </c>
      <c r="B456">
        <v>22</v>
      </c>
      <c r="C456">
        <v>78</v>
      </c>
      <c r="D456">
        <v>170</v>
      </c>
      <c r="E456" t="s">
        <v>5</v>
      </c>
      <c r="F456" s="3">
        <v>413</v>
      </c>
      <c r="G456">
        <f>955-576</f>
        <v>379</v>
      </c>
      <c r="I456">
        <f>(F456-G456)/F456</f>
        <v>8.2324455205811137E-2</v>
      </c>
      <c r="J456" s="6" t="s">
        <v>13</v>
      </c>
    </row>
    <row r="457" spans="1:10" x14ac:dyDescent="0.35">
      <c r="A457">
        <v>456</v>
      </c>
      <c r="B457">
        <v>22</v>
      </c>
      <c r="C457">
        <v>78</v>
      </c>
      <c r="D457">
        <v>170</v>
      </c>
      <c r="E457" t="s">
        <v>5</v>
      </c>
      <c r="F457" s="3">
        <v>381</v>
      </c>
      <c r="G457">
        <f>1033-669</f>
        <v>364</v>
      </c>
      <c r="I457">
        <f>(F457-G457)/F457</f>
        <v>4.4619422572178477E-2</v>
      </c>
      <c r="J457" s="6" t="s">
        <v>13</v>
      </c>
    </row>
    <row r="458" spans="1:10" x14ac:dyDescent="0.35">
      <c r="A458">
        <v>457</v>
      </c>
      <c r="B458">
        <v>22</v>
      </c>
      <c r="C458">
        <v>78</v>
      </c>
      <c r="D458">
        <v>170</v>
      </c>
      <c r="E458" t="s">
        <v>5</v>
      </c>
      <c r="F458" s="3">
        <v>381</v>
      </c>
      <c r="G458">
        <f>730-347</f>
        <v>383</v>
      </c>
      <c r="I458">
        <f>(F458-G458)/F458</f>
        <v>-5.2493438320209973E-3</v>
      </c>
      <c r="J458" s="6" t="s">
        <v>13</v>
      </c>
    </row>
    <row r="459" spans="1:10" x14ac:dyDescent="0.35">
      <c r="A459">
        <v>458</v>
      </c>
      <c r="B459">
        <v>22</v>
      </c>
      <c r="C459">
        <v>78</v>
      </c>
      <c r="D459">
        <v>170</v>
      </c>
      <c r="E459" t="s">
        <v>5</v>
      </c>
      <c r="F459" s="3">
        <v>430</v>
      </c>
      <c r="G459">
        <f>1284-869</f>
        <v>415</v>
      </c>
      <c r="I459">
        <f>(F459-G459)/F459</f>
        <v>3.4883720930232558E-2</v>
      </c>
      <c r="J459" s="6" t="s">
        <v>13</v>
      </c>
    </row>
    <row r="460" spans="1:10" x14ac:dyDescent="0.35">
      <c r="A460">
        <v>459</v>
      </c>
      <c r="B460">
        <v>22</v>
      </c>
      <c r="C460">
        <v>78</v>
      </c>
      <c r="D460">
        <v>170</v>
      </c>
      <c r="E460" t="s">
        <v>5</v>
      </c>
      <c r="F460" s="3">
        <v>388</v>
      </c>
      <c r="G460">
        <f>843-458</f>
        <v>385</v>
      </c>
      <c r="I460">
        <f>(F460-G460)/F460</f>
        <v>7.7319587628865982E-3</v>
      </c>
      <c r="J460" s="6" t="s">
        <v>13</v>
      </c>
    </row>
    <row r="461" spans="1:10" x14ac:dyDescent="0.35">
      <c r="A461">
        <v>460</v>
      </c>
      <c r="B461">
        <v>22</v>
      </c>
      <c r="C461">
        <v>78</v>
      </c>
      <c r="D461">
        <v>170</v>
      </c>
      <c r="E461" t="s">
        <v>5</v>
      </c>
      <c r="F461" s="3">
        <v>386</v>
      </c>
      <c r="G461">
        <f>1114-731</f>
        <v>383</v>
      </c>
      <c r="I461">
        <f>(F461-G461)/F461</f>
        <v>7.7720207253886009E-3</v>
      </c>
      <c r="J461" s="6" t="s">
        <v>13</v>
      </c>
    </row>
    <row r="462" spans="1:10" x14ac:dyDescent="0.35">
      <c r="A462">
        <v>461</v>
      </c>
      <c r="B462">
        <v>22</v>
      </c>
      <c r="C462">
        <v>78</v>
      </c>
      <c r="D462">
        <v>170</v>
      </c>
      <c r="E462" t="s">
        <v>5</v>
      </c>
      <c r="F462" s="3">
        <v>116</v>
      </c>
      <c r="G462">
        <f>1117-777</f>
        <v>340</v>
      </c>
      <c r="I462">
        <f>(F462-G462)/F462</f>
        <v>-1.9310344827586208</v>
      </c>
      <c r="J462" s="6" t="s">
        <v>13</v>
      </c>
    </row>
    <row r="463" spans="1:10" x14ac:dyDescent="0.35">
      <c r="A463">
        <v>462</v>
      </c>
      <c r="B463">
        <v>22</v>
      </c>
      <c r="C463">
        <v>78</v>
      </c>
      <c r="D463">
        <v>170</v>
      </c>
      <c r="E463" t="s">
        <v>5</v>
      </c>
      <c r="F463" s="3">
        <v>414</v>
      </c>
      <c r="G463">
        <f>1713-1310</f>
        <v>403</v>
      </c>
      <c r="I463">
        <f>(F463-G463)/F463</f>
        <v>2.6570048309178744E-2</v>
      </c>
      <c r="J463" s="6" t="s">
        <v>13</v>
      </c>
    </row>
    <row r="464" spans="1:10" x14ac:dyDescent="0.35">
      <c r="A464">
        <v>463</v>
      </c>
      <c r="B464">
        <v>22</v>
      </c>
      <c r="C464">
        <v>78</v>
      </c>
      <c r="D464">
        <v>170</v>
      </c>
      <c r="E464" t="s">
        <v>5</v>
      </c>
      <c r="F464" s="3">
        <v>727</v>
      </c>
      <c r="G464">
        <f>2030-1648</f>
        <v>382</v>
      </c>
      <c r="I464">
        <f>(F464-G464)/F464</f>
        <v>0.47455295735900965</v>
      </c>
      <c r="J464" s="6" t="s">
        <v>13</v>
      </c>
    </row>
    <row r="465" spans="1:10" x14ac:dyDescent="0.35">
      <c r="A465">
        <v>464</v>
      </c>
      <c r="B465">
        <v>22</v>
      </c>
      <c r="C465">
        <v>78</v>
      </c>
      <c r="D465">
        <v>170</v>
      </c>
      <c r="E465" t="s">
        <v>5</v>
      </c>
      <c r="F465" s="3">
        <v>432</v>
      </c>
      <c r="G465">
        <f>962-558</f>
        <v>404</v>
      </c>
      <c r="I465">
        <f>(F465-G465)/F465</f>
        <v>6.4814814814814811E-2</v>
      </c>
      <c r="J465" s="6" t="s">
        <v>13</v>
      </c>
    </row>
    <row r="466" spans="1:10" x14ac:dyDescent="0.35">
      <c r="A466">
        <v>465</v>
      </c>
      <c r="B466">
        <v>22</v>
      </c>
      <c r="C466">
        <v>78</v>
      </c>
      <c r="D466">
        <v>170</v>
      </c>
      <c r="E466" t="s">
        <v>5</v>
      </c>
      <c r="F466" s="3">
        <v>395</v>
      </c>
      <c r="G466">
        <f>1184-761</f>
        <v>423</v>
      </c>
      <c r="I466">
        <f>(F466-G466)/F466</f>
        <v>-7.0886075949367092E-2</v>
      </c>
      <c r="J466" s="6" t="s">
        <v>13</v>
      </c>
    </row>
    <row r="467" spans="1:10" x14ac:dyDescent="0.35">
      <c r="A467">
        <v>466</v>
      </c>
      <c r="B467">
        <v>22</v>
      </c>
      <c r="C467">
        <v>78</v>
      </c>
      <c r="D467">
        <v>170</v>
      </c>
      <c r="E467" t="s">
        <v>5</v>
      </c>
      <c r="F467" s="3">
        <v>379</v>
      </c>
      <c r="G467">
        <f>1615-1233</f>
        <v>382</v>
      </c>
      <c r="I467">
        <f>(F467-G467)/F467</f>
        <v>-7.9155672823219003E-3</v>
      </c>
      <c r="J467" s="6" t="s">
        <v>13</v>
      </c>
    </row>
    <row r="468" spans="1:10" x14ac:dyDescent="0.35">
      <c r="A468">
        <v>467</v>
      </c>
      <c r="B468">
        <v>22</v>
      </c>
      <c r="C468">
        <v>78</v>
      </c>
      <c r="D468">
        <v>170</v>
      </c>
      <c r="E468" t="s">
        <v>5</v>
      </c>
      <c r="F468" s="3">
        <v>428</v>
      </c>
      <c r="G468">
        <f>1529-1168</f>
        <v>361</v>
      </c>
      <c r="I468">
        <f>(F468-G468)/F468</f>
        <v>0.15654205607476634</v>
      </c>
      <c r="J468" s="6" t="s">
        <v>13</v>
      </c>
    </row>
    <row r="469" spans="1:10" x14ac:dyDescent="0.35">
      <c r="A469">
        <v>468</v>
      </c>
      <c r="B469">
        <v>22</v>
      </c>
      <c r="C469">
        <v>78</v>
      </c>
      <c r="D469">
        <v>170</v>
      </c>
      <c r="E469" t="s">
        <v>5</v>
      </c>
      <c r="F469" s="3">
        <v>370</v>
      </c>
      <c r="G469">
        <f>1001-608</f>
        <v>393</v>
      </c>
      <c r="I469">
        <f>(F469-G469)/F469</f>
        <v>-6.2162162162162166E-2</v>
      </c>
      <c r="J469" s="6" t="s">
        <v>13</v>
      </c>
    </row>
    <row r="470" spans="1:10" x14ac:dyDescent="0.35">
      <c r="A470">
        <v>469</v>
      </c>
      <c r="B470">
        <v>22</v>
      </c>
      <c r="C470">
        <v>78</v>
      </c>
      <c r="D470">
        <v>170</v>
      </c>
      <c r="E470" t="s">
        <v>5</v>
      </c>
      <c r="F470" s="3">
        <v>365</v>
      </c>
      <c r="G470">
        <f>1556-1200</f>
        <v>356</v>
      </c>
      <c r="I470">
        <f>(F470-G470)/F470</f>
        <v>2.4657534246575342E-2</v>
      </c>
      <c r="J470" s="6" t="s">
        <v>13</v>
      </c>
    </row>
    <row r="471" spans="1:10" x14ac:dyDescent="0.35">
      <c r="A471">
        <v>470</v>
      </c>
      <c r="B471">
        <v>22</v>
      </c>
      <c r="C471">
        <v>78</v>
      </c>
      <c r="D471">
        <v>170</v>
      </c>
      <c r="E471" t="s">
        <v>5</v>
      </c>
      <c r="F471" s="3">
        <v>397</v>
      </c>
      <c r="G471">
        <f>433-23</f>
        <v>410</v>
      </c>
      <c r="I471">
        <f>(F471-G471)/F471</f>
        <v>-3.2745591939546598E-2</v>
      </c>
      <c r="J471" s="6" t="s">
        <v>13</v>
      </c>
    </row>
    <row r="472" spans="1:10" x14ac:dyDescent="0.35">
      <c r="A472">
        <v>471</v>
      </c>
      <c r="B472">
        <v>22</v>
      </c>
      <c r="C472">
        <v>78</v>
      </c>
      <c r="D472">
        <v>170</v>
      </c>
      <c r="E472" t="s">
        <v>5</v>
      </c>
      <c r="F472" s="3">
        <v>182</v>
      </c>
      <c r="G472">
        <f>632-212</f>
        <v>420</v>
      </c>
      <c r="I472">
        <f>(F472-G472)/F472</f>
        <v>-1.3076923076923077</v>
      </c>
      <c r="J472" s="6" t="s">
        <v>13</v>
      </c>
    </row>
    <row r="473" spans="1:10" x14ac:dyDescent="0.35">
      <c r="A473">
        <v>472</v>
      </c>
      <c r="B473">
        <v>22</v>
      </c>
      <c r="C473">
        <v>78</v>
      </c>
      <c r="D473">
        <v>170</v>
      </c>
      <c r="E473" t="s">
        <v>5</v>
      </c>
      <c r="F473" s="3">
        <v>363</v>
      </c>
      <c r="G473">
        <f>1797-1421</f>
        <v>376</v>
      </c>
      <c r="I473">
        <f>(F473-G473)/F473</f>
        <v>-3.5812672176308541E-2</v>
      </c>
      <c r="J473" s="6" t="s">
        <v>13</v>
      </c>
    </row>
    <row r="474" spans="1:10" x14ac:dyDescent="0.35">
      <c r="A474">
        <v>473</v>
      </c>
      <c r="B474">
        <v>22</v>
      </c>
      <c r="C474">
        <v>78</v>
      </c>
      <c r="D474">
        <v>170</v>
      </c>
      <c r="E474" t="s">
        <v>5</v>
      </c>
      <c r="F474" s="3">
        <v>395</v>
      </c>
      <c r="G474">
        <f>1580-1218</f>
        <v>362</v>
      </c>
      <c r="I474">
        <f>(F474-G474)/F474</f>
        <v>8.3544303797468356E-2</v>
      </c>
      <c r="J474" s="6" t="s">
        <v>13</v>
      </c>
    </row>
    <row r="475" spans="1:10" x14ac:dyDescent="0.35">
      <c r="A475">
        <v>474</v>
      </c>
      <c r="B475">
        <v>22</v>
      </c>
      <c r="C475">
        <v>78</v>
      </c>
      <c r="D475">
        <v>170</v>
      </c>
      <c r="E475" t="s">
        <v>5</v>
      </c>
      <c r="F475" s="3">
        <v>414</v>
      </c>
      <c r="G475">
        <f>1827-1427</f>
        <v>400</v>
      </c>
      <c r="I475">
        <f>(F475-G475)/F475</f>
        <v>3.3816425120772944E-2</v>
      </c>
      <c r="J475" s="6" t="s">
        <v>13</v>
      </c>
    </row>
    <row r="476" spans="1:10" x14ac:dyDescent="0.35">
      <c r="A476">
        <v>475</v>
      </c>
      <c r="B476">
        <v>22</v>
      </c>
      <c r="C476">
        <v>78</v>
      </c>
      <c r="D476">
        <v>170</v>
      </c>
      <c r="E476" t="s">
        <v>5</v>
      </c>
      <c r="F476" s="3">
        <v>367</v>
      </c>
      <c r="G476">
        <f>1073-724</f>
        <v>349</v>
      </c>
      <c r="I476">
        <f>(F476-G476)/F476</f>
        <v>4.9046321525885561E-2</v>
      </c>
      <c r="J476" s="6" t="s">
        <v>13</v>
      </c>
    </row>
    <row r="477" spans="1:10" x14ac:dyDescent="0.35">
      <c r="A477">
        <v>476</v>
      </c>
      <c r="B477">
        <v>22</v>
      </c>
      <c r="C477">
        <v>78</v>
      </c>
      <c r="D477">
        <v>170</v>
      </c>
      <c r="E477" t="s">
        <v>5</v>
      </c>
      <c r="F477" s="3">
        <v>399</v>
      </c>
      <c r="G477">
        <f>1143-740</f>
        <v>403</v>
      </c>
      <c r="I477">
        <f>(F477-G477)/F477</f>
        <v>-1.0025062656641603E-2</v>
      </c>
      <c r="J477" s="6" t="s">
        <v>13</v>
      </c>
    </row>
    <row r="478" spans="1:10" x14ac:dyDescent="0.35">
      <c r="A478">
        <v>477</v>
      </c>
      <c r="B478">
        <v>22</v>
      </c>
      <c r="C478">
        <v>78</v>
      </c>
      <c r="D478">
        <v>170</v>
      </c>
      <c r="E478" t="s">
        <v>5</v>
      </c>
      <c r="F478" s="3">
        <v>417</v>
      </c>
      <c r="G478">
        <f>932-539</f>
        <v>393</v>
      </c>
      <c r="I478">
        <f>(F478-G478)/F478</f>
        <v>5.7553956834532377E-2</v>
      </c>
      <c r="J478" s="6" t="s">
        <v>13</v>
      </c>
    </row>
    <row r="479" spans="1:10" x14ac:dyDescent="0.35">
      <c r="A479">
        <v>478</v>
      </c>
      <c r="B479">
        <v>22</v>
      </c>
      <c r="C479">
        <v>78</v>
      </c>
      <c r="D479">
        <v>170</v>
      </c>
      <c r="E479" t="s">
        <v>5</v>
      </c>
      <c r="F479" s="3">
        <v>381</v>
      </c>
      <c r="G479">
        <f>1335-935</f>
        <v>400</v>
      </c>
      <c r="I479">
        <f>(F479-G479)/F479</f>
        <v>-4.9868766404199474E-2</v>
      </c>
      <c r="J479" s="6" t="s">
        <v>13</v>
      </c>
    </row>
    <row r="480" spans="1:10" x14ac:dyDescent="0.35">
      <c r="A480">
        <v>479</v>
      </c>
      <c r="B480">
        <v>22</v>
      </c>
      <c r="C480">
        <v>78</v>
      </c>
      <c r="D480">
        <v>170</v>
      </c>
      <c r="E480" t="s">
        <v>5</v>
      </c>
      <c r="F480" s="3">
        <v>412</v>
      </c>
      <c r="G480">
        <f>1676-1331</f>
        <v>345</v>
      </c>
      <c r="I480">
        <f>(F480-G480)/F480</f>
        <v>0.16262135922330098</v>
      </c>
      <c r="J480" s="6" t="s">
        <v>13</v>
      </c>
    </row>
    <row r="481" spans="1:10" x14ac:dyDescent="0.35">
      <c r="A481">
        <v>480</v>
      </c>
      <c r="B481">
        <v>22</v>
      </c>
      <c r="C481">
        <v>78</v>
      </c>
      <c r="D481">
        <v>170</v>
      </c>
      <c r="E481" t="s">
        <v>5</v>
      </c>
      <c r="F481" s="3">
        <v>776</v>
      </c>
      <c r="G481">
        <f>1183-790</f>
        <v>393</v>
      </c>
      <c r="I481">
        <f>(F481-G481)/F481</f>
        <v>0.49355670103092786</v>
      </c>
      <c r="J481" s="6" t="s">
        <v>13</v>
      </c>
    </row>
    <row r="482" spans="1:10" x14ac:dyDescent="0.35">
      <c r="A482">
        <v>481</v>
      </c>
      <c r="B482">
        <v>22</v>
      </c>
      <c r="C482">
        <v>78</v>
      </c>
      <c r="D482">
        <v>170</v>
      </c>
      <c r="E482" t="s">
        <v>5</v>
      </c>
      <c r="F482" s="3">
        <v>358</v>
      </c>
      <c r="G482">
        <f>1132-763</f>
        <v>369</v>
      </c>
      <c r="I482">
        <f>(F482-G482)/F482</f>
        <v>-3.0726256983240222E-2</v>
      </c>
      <c r="J482" s="6" t="s">
        <v>13</v>
      </c>
    </row>
    <row r="483" spans="1:10" x14ac:dyDescent="0.35">
      <c r="A483">
        <v>482</v>
      </c>
      <c r="B483">
        <v>22</v>
      </c>
      <c r="C483">
        <v>78</v>
      </c>
      <c r="D483">
        <v>170</v>
      </c>
      <c r="E483" t="s">
        <v>5</v>
      </c>
      <c r="F483" s="3">
        <v>365</v>
      </c>
      <c r="G483">
        <f>647-284</f>
        <v>363</v>
      </c>
      <c r="I483">
        <f>(F483-G483)/F483</f>
        <v>5.4794520547945206E-3</v>
      </c>
      <c r="J483" s="6" t="s">
        <v>13</v>
      </c>
    </row>
    <row r="484" spans="1:10" x14ac:dyDescent="0.35">
      <c r="A484">
        <v>483</v>
      </c>
      <c r="B484">
        <v>22</v>
      </c>
      <c r="C484">
        <v>78</v>
      </c>
      <c r="D484">
        <v>170</v>
      </c>
      <c r="E484" t="s">
        <v>5</v>
      </c>
      <c r="F484" s="3">
        <v>398</v>
      </c>
      <c r="G484">
        <f>1209-831</f>
        <v>378</v>
      </c>
      <c r="I484">
        <f>(F484-G484)/F484</f>
        <v>5.0251256281407038E-2</v>
      </c>
      <c r="J484" s="6" t="s">
        <v>13</v>
      </c>
    </row>
    <row r="485" spans="1:10" x14ac:dyDescent="0.35">
      <c r="A485">
        <v>484</v>
      </c>
      <c r="B485">
        <v>22</v>
      </c>
      <c r="C485">
        <v>78</v>
      </c>
      <c r="D485">
        <v>170</v>
      </c>
      <c r="E485" t="s">
        <v>5</v>
      </c>
      <c r="F485" s="3">
        <v>396</v>
      </c>
      <c r="G485">
        <f>917-507</f>
        <v>410</v>
      </c>
      <c r="I485">
        <f>(F485-G485)/F485</f>
        <v>-3.5353535353535352E-2</v>
      </c>
      <c r="J485" s="6" t="s">
        <v>13</v>
      </c>
    </row>
    <row r="486" spans="1:10" x14ac:dyDescent="0.35">
      <c r="A486">
        <v>485</v>
      </c>
      <c r="B486">
        <v>22</v>
      </c>
      <c r="C486">
        <v>78</v>
      </c>
      <c r="D486">
        <v>170</v>
      </c>
      <c r="E486" t="s">
        <v>5</v>
      </c>
      <c r="F486" s="3">
        <v>346</v>
      </c>
      <c r="G486">
        <f>798-444</f>
        <v>354</v>
      </c>
      <c r="I486">
        <f>(F486-G486)/F486</f>
        <v>-2.3121387283236993E-2</v>
      </c>
      <c r="J486" s="6" t="s">
        <v>13</v>
      </c>
    </row>
    <row r="487" spans="1:10" x14ac:dyDescent="0.35">
      <c r="A487">
        <v>486</v>
      </c>
      <c r="B487">
        <v>22</v>
      </c>
      <c r="C487">
        <v>78</v>
      </c>
      <c r="D487">
        <v>170</v>
      </c>
      <c r="E487" t="s">
        <v>5</v>
      </c>
      <c r="F487" s="3">
        <v>380</v>
      </c>
      <c r="G487">
        <f>1175-778</f>
        <v>397</v>
      </c>
      <c r="I487">
        <f>(F487-G487)/F487</f>
        <v>-4.4736842105263158E-2</v>
      </c>
      <c r="J487" s="6" t="s">
        <v>13</v>
      </c>
    </row>
    <row r="488" spans="1:10" x14ac:dyDescent="0.35">
      <c r="A488">
        <v>487</v>
      </c>
      <c r="B488">
        <v>22</v>
      </c>
      <c r="C488">
        <v>78</v>
      </c>
      <c r="D488">
        <v>170</v>
      </c>
      <c r="E488" t="s">
        <v>5</v>
      </c>
      <c r="F488" s="3">
        <v>380</v>
      </c>
      <c r="G488">
        <f>739-391</f>
        <v>348</v>
      </c>
      <c r="I488">
        <f>(F488-G488)/F488</f>
        <v>8.4210526315789472E-2</v>
      </c>
      <c r="J488" s="6" t="s">
        <v>13</v>
      </c>
    </row>
    <row r="489" spans="1:10" x14ac:dyDescent="0.35">
      <c r="A489">
        <v>488</v>
      </c>
      <c r="B489">
        <v>22</v>
      </c>
      <c r="C489">
        <v>78</v>
      </c>
      <c r="D489">
        <v>170</v>
      </c>
      <c r="E489" t="s">
        <v>5</v>
      </c>
      <c r="F489" s="3">
        <v>406</v>
      </c>
      <c r="G489">
        <f>1196-811</f>
        <v>385</v>
      </c>
      <c r="I489">
        <f>(F489-G489)/F489</f>
        <v>5.1724137931034482E-2</v>
      </c>
      <c r="J489" s="6" t="s">
        <v>13</v>
      </c>
    </row>
    <row r="490" spans="1:10" hidden="1" x14ac:dyDescent="0.35">
      <c r="A490">
        <v>489</v>
      </c>
      <c r="B490">
        <v>22</v>
      </c>
      <c r="C490">
        <v>78</v>
      </c>
      <c r="D490">
        <v>170</v>
      </c>
      <c r="E490" t="s">
        <v>5</v>
      </c>
      <c r="F490" s="4">
        <v>1214</v>
      </c>
      <c r="G490">
        <f>1003-620</f>
        <v>383</v>
      </c>
      <c r="H490" t="s">
        <v>8</v>
      </c>
      <c r="I490">
        <f>(F490-G490)/F490</f>
        <v>0.68451400329489287</v>
      </c>
      <c r="J490" s="7" t="s">
        <v>13</v>
      </c>
    </row>
    <row r="491" spans="1:10" x14ac:dyDescent="0.35">
      <c r="A491">
        <v>490</v>
      </c>
      <c r="B491">
        <v>22</v>
      </c>
      <c r="C491">
        <v>78</v>
      </c>
      <c r="D491">
        <v>170</v>
      </c>
      <c r="E491" t="s">
        <v>5</v>
      </c>
      <c r="F491" s="3">
        <v>378</v>
      </c>
      <c r="G491">
        <f>686-315</f>
        <v>371</v>
      </c>
      <c r="I491">
        <f>(F491-G491)/F491</f>
        <v>1.8518518518518517E-2</v>
      </c>
      <c r="J491" s="6" t="s">
        <v>13</v>
      </c>
    </row>
    <row r="492" spans="1:10" x14ac:dyDescent="0.35">
      <c r="A492">
        <v>491</v>
      </c>
      <c r="B492">
        <v>22</v>
      </c>
      <c r="C492">
        <v>78</v>
      </c>
      <c r="D492">
        <v>170</v>
      </c>
      <c r="E492" t="s">
        <v>5</v>
      </c>
      <c r="F492" s="3">
        <v>413</v>
      </c>
      <c r="G492">
        <f>1082-698</f>
        <v>384</v>
      </c>
      <c r="I492">
        <f>(F492-G492)/F492</f>
        <v>7.0217917675544791E-2</v>
      </c>
      <c r="J492" s="6" t="s">
        <v>13</v>
      </c>
    </row>
    <row r="493" spans="1:10" x14ac:dyDescent="0.35">
      <c r="A493">
        <v>492</v>
      </c>
      <c r="B493">
        <v>22</v>
      </c>
      <c r="C493">
        <v>78</v>
      </c>
      <c r="D493">
        <v>170</v>
      </c>
      <c r="E493" t="s">
        <v>5</v>
      </c>
      <c r="F493" s="3">
        <v>411</v>
      </c>
      <c r="G493">
        <f>1318-958</f>
        <v>360</v>
      </c>
      <c r="I493">
        <f>(F493-G493)/F493</f>
        <v>0.12408759124087591</v>
      </c>
      <c r="J493" s="6" t="s">
        <v>13</v>
      </c>
    </row>
    <row r="494" spans="1:10" x14ac:dyDescent="0.35">
      <c r="A494">
        <v>493</v>
      </c>
      <c r="B494">
        <v>22</v>
      </c>
      <c r="C494">
        <v>78</v>
      </c>
      <c r="D494">
        <v>170</v>
      </c>
      <c r="E494" t="s">
        <v>5</v>
      </c>
      <c r="F494" s="3">
        <v>412</v>
      </c>
      <c r="G494">
        <f>731-349</f>
        <v>382</v>
      </c>
      <c r="I494">
        <f>(F494-G494)/F494</f>
        <v>7.281553398058252E-2</v>
      </c>
      <c r="J494" s="6" t="s">
        <v>13</v>
      </c>
    </row>
    <row r="495" spans="1:10" x14ac:dyDescent="0.35">
      <c r="A495">
        <v>494</v>
      </c>
      <c r="B495">
        <v>22</v>
      </c>
      <c r="C495">
        <v>78</v>
      </c>
      <c r="D495">
        <v>170</v>
      </c>
      <c r="E495" t="s">
        <v>5</v>
      </c>
      <c r="F495" s="3">
        <v>379</v>
      </c>
      <c r="G495">
        <f>1014-663</f>
        <v>351</v>
      </c>
      <c r="I495">
        <f>(F495-G495)/F495</f>
        <v>7.3878627968337732E-2</v>
      </c>
      <c r="J495" s="6" t="s">
        <v>13</v>
      </c>
    </row>
    <row r="496" spans="1:10" x14ac:dyDescent="0.35">
      <c r="A496">
        <v>495</v>
      </c>
      <c r="B496">
        <v>22</v>
      </c>
      <c r="C496">
        <v>78</v>
      </c>
      <c r="D496">
        <v>170</v>
      </c>
      <c r="E496" t="s">
        <v>5</v>
      </c>
      <c r="F496" s="3">
        <v>381</v>
      </c>
      <c r="G496">
        <f>1321-944</f>
        <v>377</v>
      </c>
      <c r="I496">
        <f>(F496-G496)/F496</f>
        <v>1.0498687664041995E-2</v>
      </c>
      <c r="J496" s="6" t="s">
        <v>13</v>
      </c>
    </row>
    <row r="497" spans="1:10" x14ac:dyDescent="0.35">
      <c r="A497">
        <v>496</v>
      </c>
      <c r="B497">
        <v>22</v>
      </c>
      <c r="C497">
        <v>78</v>
      </c>
      <c r="D497">
        <v>170</v>
      </c>
      <c r="E497" t="s">
        <v>5</v>
      </c>
      <c r="F497" s="3">
        <v>397</v>
      </c>
      <c r="G497">
        <f>674-303</f>
        <v>371</v>
      </c>
      <c r="I497">
        <f>(F497-G497)/F497</f>
        <v>6.5491183879093195E-2</v>
      </c>
      <c r="J497" s="6" t="s">
        <v>13</v>
      </c>
    </row>
    <row r="498" spans="1:10" hidden="1" x14ac:dyDescent="0.35">
      <c r="A498">
        <v>497</v>
      </c>
      <c r="B498">
        <v>22</v>
      </c>
      <c r="C498">
        <v>78</v>
      </c>
      <c r="D498">
        <v>170</v>
      </c>
      <c r="E498" t="s">
        <v>5</v>
      </c>
      <c r="F498" s="4">
        <v>148</v>
      </c>
      <c r="G498">
        <f>668-258</f>
        <v>410</v>
      </c>
      <c r="H498" t="s">
        <v>8</v>
      </c>
      <c r="I498">
        <f>(F498-G498)/F498</f>
        <v>-1.7702702702702702</v>
      </c>
      <c r="J498" s="6" t="s">
        <v>13</v>
      </c>
    </row>
    <row r="499" spans="1:10" x14ac:dyDescent="0.35">
      <c r="A499">
        <v>498</v>
      </c>
      <c r="B499">
        <v>22</v>
      </c>
      <c r="C499">
        <v>78</v>
      </c>
      <c r="D499">
        <v>170</v>
      </c>
      <c r="E499" t="s">
        <v>5</v>
      </c>
      <c r="F499" s="3">
        <v>396</v>
      </c>
      <c r="G499">
        <f>1270-859</f>
        <v>411</v>
      </c>
      <c r="I499">
        <f>(F499-G499)/F499</f>
        <v>-3.787878787878788E-2</v>
      </c>
      <c r="J499" s="6" t="s">
        <v>13</v>
      </c>
    </row>
    <row r="500" spans="1:10" x14ac:dyDescent="0.35">
      <c r="A500">
        <v>499</v>
      </c>
      <c r="B500">
        <v>22</v>
      </c>
      <c r="C500">
        <v>78</v>
      </c>
      <c r="D500">
        <v>170</v>
      </c>
      <c r="E500" t="s">
        <v>5</v>
      </c>
      <c r="F500" s="3">
        <v>394</v>
      </c>
      <c r="G500">
        <f>364-0</f>
        <v>364</v>
      </c>
      <c r="I500">
        <f>(F500-G500)/F500</f>
        <v>7.6142131979695438E-2</v>
      </c>
      <c r="J500" s="6" t="s">
        <v>13</v>
      </c>
    </row>
    <row r="501" spans="1:10" x14ac:dyDescent="0.35">
      <c r="A501">
        <v>500</v>
      </c>
      <c r="B501">
        <v>22</v>
      </c>
      <c r="C501">
        <v>78</v>
      </c>
      <c r="D501">
        <v>170</v>
      </c>
      <c r="E501" t="s">
        <v>5</v>
      </c>
      <c r="F501" s="3">
        <v>412</v>
      </c>
      <c r="G501">
        <f>614-260</f>
        <v>354</v>
      </c>
      <c r="I501">
        <f>(F501-G501)/F501</f>
        <v>0.14077669902912621</v>
      </c>
      <c r="J501" s="6" t="s">
        <v>13</v>
      </c>
    </row>
    <row r="502" spans="1:10" x14ac:dyDescent="0.35">
      <c r="A502">
        <v>501</v>
      </c>
      <c r="B502">
        <v>22</v>
      </c>
      <c r="C502">
        <v>78</v>
      </c>
      <c r="D502">
        <v>170</v>
      </c>
      <c r="E502" t="s">
        <v>5</v>
      </c>
      <c r="F502" s="3">
        <v>396</v>
      </c>
      <c r="G502">
        <f>277-0</f>
        <v>277</v>
      </c>
      <c r="I502">
        <f>(F502-G502)/F502</f>
        <v>0.3005050505050505</v>
      </c>
      <c r="J502" s="6" t="s">
        <v>13</v>
      </c>
    </row>
    <row r="503" spans="1:10" x14ac:dyDescent="0.35">
      <c r="A503">
        <v>502</v>
      </c>
      <c r="B503">
        <v>22</v>
      </c>
      <c r="C503">
        <v>78</v>
      </c>
      <c r="D503">
        <v>170</v>
      </c>
      <c r="E503" t="s">
        <v>5</v>
      </c>
      <c r="F503" s="3">
        <v>412</v>
      </c>
      <c r="G503">
        <f>1260-874</f>
        <v>386</v>
      </c>
      <c r="I503">
        <f>(F503-G503)/F503</f>
        <v>6.3106796116504854E-2</v>
      </c>
      <c r="J503" s="6" t="s">
        <v>13</v>
      </c>
    </row>
    <row r="504" spans="1:10" x14ac:dyDescent="0.35">
      <c r="A504">
        <v>503</v>
      </c>
      <c r="B504">
        <v>22</v>
      </c>
      <c r="C504">
        <v>78</v>
      </c>
      <c r="D504">
        <v>170</v>
      </c>
      <c r="E504" t="s">
        <v>5</v>
      </c>
      <c r="F504" s="3">
        <v>412</v>
      </c>
      <c r="G504">
        <f>402-16</f>
        <v>386</v>
      </c>
      <c r="I504">
        <f>(F504-G504)/F504</f>
        <v>6.3106796116504854E-2</v>
      </c>
      <c r="J504" s="6" t="s">
        <v>13</v>
      </c>
    </row>
    <row r="505" spans="1:10" x14ac:dyDescent="0.35">
      <c r="A505">
        <v>504</v>
      </c>
      <c r="B505">
        <v>22</v>
      </c>
      <c r="C505">
        <v>78</v>
      </c>
      <c r="D505">
        <v>170</v>
      </c>
      <c r="E505" t="s">
        <v>5</v>
      </c>
      <c r="F505" s="3">
        <v>379</v>
      </c>
      <c r="G505">
        <f>793-382</f>
        <v>411</v>
      </c>
      <c r="I505">
        <f>(F505-G505)/F505</f>
        <v>-8.4432717678100261E-2</v>
      </c>
      <c r="J505" s="6" t="s">
        <v>13</v>
      </c>
    </row>
    <row r="506" spans="1:10" x14ac:dyDescent="0.35">
      <c r="A506">
        <v>505</v>
      </c>
      <c r="B506">
        <v>22</v>
      </c>
      <c r="C506">
        <v>78</v>
      </c>
      <c r="D506">
        <v>170</v>
      </c>
      <c r="E506" t="s">
        <v>5</v>
      </c>
      <c r="F506" s="3">
        <v>380</v>
      </c>
      <c r="G506">
        <f>1172-781</f>
        <v>391</v>
      </c>
      <c r="I506">
        <f>(F506-G506)/F506</f>
        <v>-2.8947368421052631E-2</v>
      </c>
      <c r="J506" s="6" t="s">
        <v>13</v>
      </c>
    </row>
    <row r="507" spans="1:10" x14ac:dyDescent="0.35">
      <c r="A507">
        <v>506</v>
      </c>
      <c r="B507">
        <v>22</v>
      </c>
      <c r="C507">
        <v>78</v>
      </c>
      <c r="D507">
        <v>170</v>
      </c>
      <c r="E507" t="s">
        <v>5</v>
      </c>
      <c r="F507" s="3">
        <v>380</v>
      </c>
      <c r="G507">
        <f>645-202</f>
        <v>443</v>
      </c>
      <c r="I507">
        <f>(F507-G507)/F507</f>
        <v>-0.16578947368421051</v>
      </c>
      <c r="J507" s="6" t="s">
        <v>13</v>
      </c>
    </row>
    <row r="508" spans="1:10" x14ac:dyDescent="0.35">
      <c r="A508">
        <v>507</v>
      </c>
      <c r="B508">
        <v>22</v>
      </c>
      <c r="C508">
        <v>78</v>
      </c>
      <c r="D508">
        <v>170</v>
      </c>
      <c r="E508" t="s">
        <v>5</v>
      </c>
      <c r="F508" s="3">
        <v>331</v>
      </c>
      <c r="G508">
        <f>1015-600</f>
        <v>415</v>
      </c>
      <c r="I508">
        <f>(F508-G508)/F508</f>
        <v>-0.25377643504531722</v>
      </c>
      <c r="J508" s="6" t="s">
        <v>13</v>
      </c>
    </row>
    <row r="509" spans="1:10" x14ac:dyDescent="0.35">
      <c r="A509">
        <v>508</v>
      </c>
      <c r="B509">
        <v>22</v>
      </c>
      <c r="C509">
        <v>78</v>
      </c>
      <c r="D509">
        <v>170</v>
      </c>
      <c r="E509" t="s">
        <v>5</v>
      </c>
      <c r="F509" s="3">
        <v>362</v>
      </c>
      <c r="G509">
        <f>1121-735</f>
        <v>386</v>
      </c>
      <c r="I509">
        <f>(F509-G509)/F509</f>
        <v>-6.6298342541436461E-2</v>
      </c>
      <c r="J509" s="6" t="s">
        <v>13</v>
      </c>
    </row>
    <row r="510" spans="1:10" x14ac:dyDescent="0.35">
      <c r="A510">
        <v>509</v>
      </c>
      <c r="B510">
        <v>22</v>
      </c>
      <c r="C510">
        <v>78</v>
      </c>
      <c r="D510">
        <v>170</v>
      </c>
      <c r="E510" t="s">
        <v>5</v>
      </c>
      <c r="F510" s="3">
        <v>379</v>
      </c>
      <c r="G510">
        <f>827-463</f>
        <v>364</v>
      </c>
      <c r="I510">
        <f>(F510-G510)/F510</f>
        <v>3.9577836411609502E-2</v>
      </c>
      <c r="J510" s="6" t="s">
        <v>13</v>
      </c>
    </row>
    <row r="511" spans="1:10" x14ac:dyDescent="0.35">
      <c r="A511">
        <v>510</v>
      </c>
      <c r="B511">
        <v>22</v>
      </c>
      <c r="C511">
        <v>78</v>
      </c>
      <c r="D511">
        <v>170</v>
      </c>
      <c r="E511" t="s">
        <v>5</v>
      </c>
      <c r="F511" s="3">
        <v>348</v>
      </c>
      <c r="G511">
        <f>342-0</f>
        <v>342</v>
      </c>
      <c r="I511">
        <f>(F511-G511)/F511</f>
        <v>1.7241379310344827E-2</v>
      </c>
      <c r="J511" s="6" t="s">
        <v>13</v>
      </c>
    </row>
    <row r="512" spans="1:10" x14ac:dyDescent="0.35">
      <c r="A512">
        <v>511</v>
      </c>
      <c r="B512">
        <v>22</v>
      </c>
      <c r="C512">
        <v>78</v>
      </c>
      <c r="D512">
        <v>170</v>
      </c>
      <c r="E512" t="s">
        <v>5</v>
      </c>
      <c r="F512" s="3">
        <v>412</v>
      </c>
      <c r="G512">
        <f>692-295</f>
        <v>397</v>
      </c>
      <c r="I512">
        <f>(F512-G512)/F512</f>
        <v>3.640776699029126E-2</v>
      </c>
      <c r="J512" s="6" t="s">
        <v>13</v>
      </c>
    </row>
    <row r="513" spans="1:10" x14ac:dyDescent="0.35">
      <c r="A513">
        <v>512</v>
      </c>
      <c r="B513">
        <v>22</v>
      </c>
      <c r="C513">
        <v>78</v>
      </c>
      <c r="D513">
        <v>170</v>
      </c>
      <c r="E513" t="s">
        <v>5</v>
      </c>
      <c r="F513" s="3">
        <v>495</v>
      </c>
      <c r="G513">
        <f>514-80</f>
        <v>434</v>
      </c>
      <c r="I513">
        <f>(F513-G513)/F513</f>
        <v>0.12323232323232323</v>
      </c>
      <c r="J513" s="6" t="s">
        <v>13</v>
      </c>
    </row>
    <row r="514" spans="1:10" x14ac:dyDescent="0.35">
      <c r="A514">
        <v>513</v>
      </c>
      <c r="B514">
        <v>22</v>
      </c>
      <c r="C514">
        <v>78</v>
      </c>
      <c r="D514">
        <v>170</v>
      </c>
      <c r="E514" t="s">
        <v>5</v>
      </c>
      <c r="F514" s="3">
        <v>394</v>
      </c>
      <c r="G514">
        <f>731-375</f>
        <v>356</v>
      </c>
      <c r="I514">
        <f>(F514-G514)/F514</f>
        <v>9.6446700507614211E-2</v>
      </c>
      <c r="J514" s="6" t="s">
        <v>13</v>
      </c>
    </row>
    <row r="515" spans="1:10" x14ac:dyDescent="0.35">
      <c r="A515">
        <v>514</v>
      </c>
      <c r="B515">
        <v>22</v>
      </c>
      <c r="C515">
        <v>78</v>
      </c>
      <c r="D515">
        <v>170</v>
      </c>
      <c r="E515" t="s">
        <v>5</v>
      </c>
      <c r="F515" s="3">
        <v>411</v>
      </c>
      <c r="G515">
        <f>616-187</f>
        <v>429</v>
      </c>
      <c r="I515">
        <f>(F515-G515)/F515</f>
        <v>-4.3795620437956206E-2</v>
      </c>
      <c r="J515" s="6" t="s">
        <v>13</v>
      </c>
    </row>
    <row r="516" spans="1:10" x14ac:dyDescent="0.35">
      <c r="A516">
        <v>515</v>
      </c>
      <c r="B516">
        <v>22</v>
      </c>
      <c r="C516">
        <v>78</v>
      </c>
      <c r="D516">
        <v>170</v>
      </c>
      <c r="E516" t="s">
        <v>5</v>
      </c>
      <c r="F516" s="3">
        <v>380</v>
      </c>
      <c r="G516">
        <f>742-362</f>
        <v>380</v>
      </c>
      <c r="I516">
        <f>(F516-G516)/F516</f>
        <v>0</v>
      </c>
      <c r="J516" s="6" t="s">
        <v>13</v>
      </c>
    </row>
    <row r="517" spans="1:10" x14ac:dyDescent="0.35">
      <c r="A517">
        <v>516</v>
      </c>
      <c r="B517">
        <v>22</v>
      </c>
      <c r="C517">
        <v>78</v>
      </c>
      <c r="D517">
        <v>170</v>
      </c>
      <c r="E517" t="s">
        <v>5</v>
      </c>
      <c r="F517" s="3">
        <v>429</v>
      </c>
      <c r="G517">
        <f>726-366</f>
        <v>360</v>
      </c>
      <c r="I517">
        <f>(F517-G517)/F517</f>
        <v>0.16083916083916083</v>
      </c>
      <c r="J517" s="6" t="s">
        <v>13</v>
      </c>
    </row>
    <row r="518" spans="1:10" x14ac:dyDescent="0.35">
      <c r="A518">
        <v>517</v>
      </c>
      <c r="B518">
        <v>22</v>
      </c>
      <c r="C518">
        <v>78</v>
      </c>
      <c r="D518">
        <v>170</v>
      </c>
      <c r="E518" t="s">
        <v>5</v>
      </c>
      <c r="F518" s="3">
        <v>397</v>
      </c>
      <c r="G518">
        <f>1101-718</f>
        <v>383</v>
      </c>
      <c r="I518">
        <f>(F518-G518)/F518</f>
        <v>3.5264483627204031E-2</v>
      </c>
      <c r="J518" s="6" t="s">
        <v>13</v>
      </c>
    </row>
    <row r="519" spans="1:10" x14ac:dyDescent="0.35">
      <c r="A519">
        <v>518</v>
      </c>
      <c r="B519">
        <v>22</v>
      </c>
      <c r="C519">
        <v>78</v>
      </c>
      <c r="D519">
        <v>170</v>
      </c>
      <c r="E519" t="s">
        <v>5</v>
      </c>
      <c r="F519" s="3">
        <v>377</v>
      </c>
      <c r="G519">
        <f>330-0</f>
        <v>330</v>
      </c>
      <c r="I519">
        <f>(F519-G519)/F519</f>
        <v>0.12466843501326259</v>
      </c>
      <c r="J519" s="6" t="s">
        <v>13</v>
      </c>
    </row>
    <row r="520" spans="1:10" x14ac:dyDescent="0.35">
      <c r="A520">
        <v>519</v>
      </c>
      <c r="B520">
        <v>22</v>
      </c>
      <c r="C520">
        <v>78</v>
      </c>
      <c r="D520">
        <v>170</v>
      </c>
      <c r="E520" t="s">
        <v>5</v>
      </c>
      <c r="F520" s="3">
        <v>397</v>
      </c>
      <c r="G520">
        <f>1298-914</f>
        <v>384</v>
      </c>
      <c r="I520">
        <f>(F520-G520)/F520</f>
        <v>3.2745591939546598E-2</v>
      </c>
      <c r="J520" s="6" t="s">
        <v>13</v>
      </c>
    </row>
    <row r="521" spans="1:10" x14ac:dyDescent="0.35">
      <c r="A521">
        <v>520</v>
      </c>
      <c r="B521">
        <v>22</v>
      </c>
      <c r="C521">
        <v>78</v>
      </c>
      <c r="D521">
        <v>170</v>
      </c>
      <c r="E521" t="s">
        <v>5</v>
      </c>
      <c r="F521" s="3">
        <v>363</v>
      </c>
      <c r="G521">
        <f>604-216</f>
        <v>388</v>
      </c>
      <c r="I521">
        <f>(F521-G521)/F521</f>
        <v>-6.8870523415977963E-2</v>
      </c>
      <c r="J521" s="6" t="s">
        <v>13</v>
      </c>
    </row>
    <row r="522" spans="1:10" x14ac:dyDescent="0.35">
      <c r="A522">
        <v>521</v>
      </c>
      <c r="B522">
        <v>22</v>
      </c>
      <c r="C522">
        <v>78</v>
      </c>
      <c r="D522">
        <v>170</v>
      </c>
      <c r="E522" t="s">
        <v>5</v>
      </c>
      <c r="F522" s="3">
        <v>364</v>
      </c>
      <c r="G522">
        <f>328-0</f>
        <v>328</v>
      </c>
      <c r="I522">
        <f>(F522-G522)/F522</f>
        <v>9.8901098901098897E-2</v>
      </c>
      <c r="J522" s="6" t="s">
        <v>13</v>
      </c>
    </row>
    <row r="523" spans="1:10" x14ac:dyDescent="0.35">
      <c r="A523">
        <v>522</v>
      </c>
      <c r="B523">
        <v>22</v>
      </c>
      <c r="C523">
        <v>78</v>
      </c>
      <c r="D523">
        <v>170</v>
      </c>
      <c r="E523" t="s">
        <v>5</v>
      </c>
      <c r="F523" s="3">
        <v>360</v>
      </c>
      <c r="G523">
        <f>1353-1001</f>
        <v>352</v>
      </c>
      <c r="I523">
        <f>(F523-G523)/F523</f>
        <v>2.2222222222222223E-2</v>
      </c>
      <c r="J523" s="6" t="s">
        <v>13</v>
      </c>
    </row>
    <row r="524" spans="1:10" x14ac:dyDescent="0.35">
      <c r="A524">
        <v>523</v>
      </c>
      <c r="B524">
        <v>22</v>
      </c>
      <c r="C524">
        <v>78</v>
      </c>
      <c r="D524">
        <v>170</v>
      </c>
      <c r="E524" t="s">
        <v>5</v>
      </c>
      <c r="F524" s="3">
        <v>105</v>
      </c>
      <c r="G524">
        <f>726-367</f>
        <v>359</v>
      </c>
      <c r="I524">
        <f>(F524-G524)/F524</f>
        <v>-2.4190476190476189</v>
      </c>
      <c r="J524" s="6" t="s">
        <v>13</v>
      </c>
    </row>
    <row r="525" spans="1:10" x14ac:dyDescent="0.35">
      <c r="A525">
        <v>524</v>
      </c>
      <c r="B525">
        <v>22</v>
      </c>
      <c r="C525">
        <v>78</v>
      </c>
      <c r="D525">
        <v>170</v>
      </c>
      <c r="E525" t="s">
        <v>5</v>
      </c>
      <c r="F525" s="3">
        <v>413</v>
      </c>
      <c r="G525">
        <f>1006-612</f>
        <v>394</v>
      </c>
      <c r="I525">
        <f>(F525-G525)/F525</f>
        <v>4.6004842615012108E-2</v>
      </c>
      <c r="J525" s="6" t="s">
        <v>13</v>
      </c>
    </row>
    <row r="526" spans="1:10" x14ac:dyDescent="0.35">
      <c r="A526">
        <v>525</v>
      </c>
      <c r="B526">
        <v>22</v>
      </c>
      <c r="C526">
        <v>78</v>
      </c>
      <c r="D526">
        <v>170</v>
      </c>
      <c r="E526" t="s">
        <v>5</v>
      </c>
      <c r="F526" s="3">
        <v>379</v>
      </c>
      <c r="G526">
        <f>418-40</f>
        <v>378</v>
      </c>
      <c r="I526">
        <f>(F526-G526)/F526</f>
        <v>2.6385224274406332E-3</v>
      </c>
      <c r="J526" s="6" t="s">
        <v>13</v>
      </c>
    </row>
    <row r="527" spans="1:10" x14ac:dyDescent="0.35">
      <c r="A527">
        <v>526</v>
      </c>
      <c r="B527">
        <v>22</v>
      </c>
      <c r="C527">
        <v>78</v>
      </c>
      <c r="D527">
        <v>170</v>
      </c>
      <c r="E527" t="s">
        <v>5</v>
      </c>
      <c r="F527" s="3">
        <v>428</v>
      </c>
      <c r="G527">
        <f>582-194</f>
        <v>388</v>
      </c>
      <c r="I527">
        <f>(F527-G527)/F527</f>
        <v>9.3457943925233641E-2</v>
      </c>
      <c r="J527" s="6" t="s">
        <v>13</v>
      </c>
    </row>
    <row r="528" spans="1:10" x14ac:dyDescent="0.35">
      <c r="A528">
        <v>527</v>
      </c>
      <c r="B528">
        <v>22</v>
      </c>
      <c r="C528">
        <v>78</v>
      </c>
      <c r="D528">
        <v>170</v>
      </c>
      <c r="E528" t="s">
        <v>5</v>
      </c>
      <c r="F528" s="3">
        <v>379</v>
      </c>
      <c r="G528">
        <f>736-384</f>
        <v>352</v>
      </c>
      <c r="I528">
        <f>(F528-G528)/F528</f>
        <v>7.1240105540897103E-2</v>
      </c>
      <c r="J528" s="6" t="s">
        <v>13</v>
      </c>
    </row>
    <row r="529" spans="1:10" x14ac:dyDescent="0.35">
      <c r="A529">
        <v>528</v>
      </c>
      <c r="B529">
        <v>22</v>
      </c>
      <c r="C529">
        <v>78</v>
      </c>
      <c r="D529">
        <v>170</v>
      </c>
      <c r="E529" t="s">
        <v>5</v>
      </c>
      <c r="F529" s="3">
        <v>380</v>
      </c>
      <c r="G529">
        <f>619-262</f>
        <v>357</v>
      </c>
      <c r="I529">
        <f>(F529-G529)/F529</f>
        <v>6.0526315789473685E-2</v>
      </c>
      <c r="J529" s="6" t="s">
        <v>13</v>
      </c>
    </row>
    <row r="530" spans="1:10" x14ac:dyDescent="0.35">
      <c r="A530">
        <v>529</v>
      </c>
      <c r="B530">
        <v>22</v>
      </c>
      <c r="C530">
        <v>78</v>
      </c>
      <c r="D530">
        <v>170</v>
      </c>
      <c r="E530" t="s">
        <v>5</v>
      </c>
      <c r="F530" s="3">
        <v>347</v>
      </c>
      <c r="G530">
        <f>1084-691</f>
        <v>393</v>
      </c>
      <c r="I530">
        <f>(F530-G530)/F530</f>
        <v>-0.13256484149855907</v>
      </c>
      <c r="J530" s="6" t="s">
        <v>13</v>
      </c>
    </row>
    <row r="531" spans="1:10" x14ac:dyDescent="0.35">
      <c r="A531">
        <v>530</v>
      </c>
      <c r="B531">
        <v>22</v>
      </c>
      <c r="C531">
        <v>78</v>
      </c>
      <c r="D531">
        <v>170</v>
      </c>
      <c r="E531" t="s">
        <v>5</v>
      </c>
      <c r="F531" s="3">
        <v>380</v>
      </c>
      <c r="G531">
        <f>1262-904</f>
        <v>358</v>
      </c>
      <c r="I531">
        <f>(F531-G531)/F531</f>
        <v>5.7894736842105263E-2</v>
      </c>
      <c r="J531" s="6" t="s">
        <v>13</v>
      </c>
    </row>
    <row r="532" spans="1:10" x14ac:dyDescent="0.35">
      <c r="A532">
        <v>531</v>
      </c>
      <c r="B532">
        <v>22</v>
      </c>
      <c r="C532">
        <v>78</v>
      </c>
      <c r="D532">
        <v>170</v>
      </c>
      <c r="E532" t="s">
        <v>5</v>
      </c>
      <c r="F532" s="3">
        <v>379</v>
      </c>
      <c r="G532">
        <f>301-0</f>
        <v>301</v>
      </c>
      <c r="I532">
        <f>(F532-G532)/F532</f>
        <v>0.20580474934036938</v>
      </c>
      <c r="J532" s="6" t="s">
        <v>13</v>
      </c>
    </row>
    <row r="533" spans="1:10" x14ac:dyDescent="0.35">
      <c r="A533">
        <v>532</v>
      </c>
      <c r="B533">
        <v>22</v>
      </c>
      <c r="C533">
        <v>78</v>
      </c>
      <c r="D533">
        <v>170</v>
      </c>
      <c r="E533" t="s">
        <v>5</v>
      </c>
      <c r="F533" s="3">
        <v>379</v>
      </c>
      <c r="G533">
        <f>884-510</f>
        <v>374</v>
      </c>
      <c r="I533">
        <f>(F533-G533)/F533</f>
        <v>1.3192612137203167E-2</v>
      </c>
      <c r="J533" s="6" t="s">
        <v>13</v>
      </c>
    </row>
    <row r="534" spans="1:10" x14ac:dyDescent="0.35">
      <c r="A534">
        <v>533</v>
      </c>
      <c r="B534">
        <v>22</v>
      </c>
      <c r="C534">
        <v>78</v>
      </c>
      <c r="D534">
        <v>170</v>
      </c>
      <c r="E534" t="s">
        <v>5</v>
      </c>
      <c r="F534" s="3">
        <v>379</v>
      </c>
      <c r="G534">
        <f>1793-1423</f>
        <v>370</v>
      </c>
      <c r="I534">
        <f>(F534-G534)/F534</f>
        <v>2.3746701846965697E-2</v>
      </c>
      <c r="J534" s="6" t="s">
        <v>13</v>
      </c>
    </row>
    <row r="535" spans="1:10" x14ac:dyDescent="0.35">
      <c r="A535">
        <v>534</v>
      </c>
      <c r="B535">
        <v>22</v>
      </c>
      <c r="C535">
        <v>78</v>
      </c>
      <c r="D535">
        <v>170</v>
      </c>
      <c r="E535" t="s">
        <v>5</v>
      </c>
      <c r="F535" s="3">
        <v>345</v>
      </c>
      <c r="G535">
        <f>861-480</f>
        <v>381</v>
      </c>
      <c r="I535">
        <f>(F535-G535)/F535</f>
        <v>-0.10434782608695652</v>
      </c>
      <c r="J535" s="6" t="s">
        <v>13</v>
      </c>
    </row>
    <row r="536" spans="1:10" x14ac:dyDescent="0.35">
      <c r="A536">
        <v>535</v>
      </c>
      <c r="B536">
        <v>22</v>
      </c>
      <c r="C536">
        <v>78</v>
      </c>
      <c r="D536">
        <v>170</v>
      </c>
      <c r="E536" t="s">
        <v>5</v>
      </c>
      <c r="F536" s="3">
        <v>381</v>
      </c>
      <c r="G536">
        <f>1423-1032</f>
        <v>391</v>
      </c>
      <c r="I536">
        <f>(F536-G536)/F536</f>
        <v>-2.6246719160104987E-2</v>
      </c>
      <c r="J536" s="6" t="s">
        <v>13</v>
      </c>
    </row>
    <row r="537" spans="1:10" x14ac:dyDescent="0.35">
      <c r="A537">
        <v>536</v>
      </c>
      <c r="B537">
        <v>22</v>
      </c>
      <c r="C537">
        <v>78</v>
      </c>
      <c r="D537">
        <v>170</v>
      </c>
      <c r="E537" t="s">
        <v>5</v>
      </c>
      <c r="F537" s="3">
        <v>345</v>
      </c>
      <c r="G537">
        <f>1202-842</f>
        <v>360</v>
      </c>
      <c r="I537">
        <f>(F537-G537)/F537</f>
        <v>-4.3478260869565216E-2</v>
      </c>
      <c r="J537" s="6" t="s">
        <v>13</v>
      </c>
    </row>
    <row r="538" spans="1:10" x14ac:dyDescent="0.35">
      <c r="A538">
        <v>537</v>
      </c>
      <c r="B538">
        <v>22</v>
      </c>
      <c r="C538">
        <v>78</v>
      </c>
      <c r="D538">
        <v>170</v>
      </c>
      <c r="E538" t="s">
        <v>5</v>
      </c>
      <c r="F538" s="3">
        <v>380</v>
      </c>
      <c r="G538">
        <f>500-138</f>
        <v>362</v>
      </c>
      <c r="I538">
        <f>(F538-G538)/F538</f>
        <v>4.736842105263158E-2</v>
      </c>
      <c r="J538" s="6" t="s">
        <v>13</v>
      </c>
    </row>
    <row r="539" spans="1:10" x14ac:dyDescent="0.35">
      <c r="A539">
        <v>538</v>
      </c>
      <c r="B539">
        <v>22</v>
      </c>
      <c r="C539">
        <v>78</v>
      </c>
      <c r="D539">
        <v>170</v>
      </c>
      <c r="E539" t="s">
        <v>5</v>
      </c>
      <c r="F539" s="3">
        <v>348</v>
      </c>
      <c r="G539">
        <f>1204-830</f>
        <v>374</v>
      </c>
      <c r="I539">
        <f>(F539-G539)/F539</f>
        <v>-7.4712643678160925E-2</v>
      </c>
      <c r="J539" s="6" t="s">
        <v>13</v>
      </c>
    </row>
    <row r="540" spans="1:10" x14ac:dyDescent="0.35">
      <c r="A540">
        <v>539</v>
      </c>
      <c r="B540">
        <v>22</v>
      </c>
      <c r="C540">
        <v>78</v>
      </c>
      <c r="D540">
        <v>170</v>
      </c>
      <c r="E540" t="s">
        <v>5</v>
      </c>
      <c r="F540" s="3">
        <v>396</v>
      </c>
      <c r="G540">
        <f>2344-1907</f>
        <v>437</v>
      </c>
      <c r="I540">
        <f>(F540-G540)/F540</f>
        <v>-0.10353535353535354</v>
      </c>
      <c r="J540" s="6" t="s">
        <v>13</v>
      </c>
    </row>
    <row r="541" spans="1:10" x14ac:dyDescent="0.35">
      <c r="A541">
        <v>540</v>
      </c>
      <c r="B541">
        <v>22</v>
      </c>
      <c r="C541">
        <v>78</v>
      </c>
      <c r="D541">
        <v>170</v>
      </c>
      <c r="E541" t="s">
        <v>5</v>
      </c>
      <c r="F541" s="3">
        <v>331</v>
      </c>
      <c r="G541">
        <f>1553-1212</f>
        <v>341</v>
      </c>
      <c r="I541">
        <f>(F541-G541)/F541</f>
        <v>-3.0211480362537766E-2</v>
      </c>
      <c r="J541" s="6" t="s">
        <v>13</v>
      </c>
    </row>
    <row r="542" spans="1:10" x14ac:dyDescent="0.35">
      <c r="A542">
        <v>541</v>
      </c>
      <c r="B542">
        <v>22</v>
      </c>
      <c r="C542">
        <v>78</v>
      </c>
      <c r="D542">
        <v>170</v>
      </c>
      <c r="E542" t="s">
        <v>5</v>
      </c>
      <c r="F542" s="3">
        <v>346</v>
      </c>
      <c r="G542">
        <f>490-141</f>
        <v>349</v>
      </c>
      <c r="I542">
        <f>(F542-G542)/F542</f>
        <v>-8.670520231213872E-3</v>
      </c>
      <c r="J542" s="6" t="s">
        <v>13</v>
      </c>
    </row>
    <row r="543" spans="1:10" x14ac:dyDescent="0.35">
      <c r="A543">
        <v>542</v>
      </c>
      <c r="B543">
        <v>22</v>
      </c>
      <c r="C543">
        <v>78</v>
      </c>
      <c r="D543">
        <v>170</v>
      </c>
      <c r="E543" t="s">
        <v>5</v>
      </c>
      <c r="F543" s="3">
        <v>364</v>
      </c>
      <c r="G543">
        <f>1459-1092</f>
        <v>367</v>
      </c>
      <c r="I543">
        <f>(F543-G543)/F543</f>
        <v>-8.241758241758242E-3</v>
      </c>
      <c r="J543" s="6" t="s">
        <v>13</v>
      </c>
    </row>
    <row r="544" spans="1:10" x14ac:dyDescent="0.35">
      <c r="A544">
        <v>543</v>
      </c>
      <c r="B544">
        <v>22</v>
      </c>
      <c r="C544">
        <v>78</v>
      </c>
      <c r="D544">
        <v>170</v>
      </c>
      <c r="E544" t="s">
        <v>5</v>
      </c>
      <c r="F544" s="3">
        <v>379</v>
      </c>
      <c r="G544">
        <f>532-153</f>
        <v>379</v>
      </c>
      <c r="I544">
        <f>(F544-G544)/F544</f>
        <v>0</v>
      </c>
      <c r="J544" s="6" t="s">
        <v>13</v>
      </c>
    </row>
    <row r="545" spans="1:10" x14ac:dyDescent="0.35">
      <c r="A545">
        <v>544</v>
      </c>
      <c r="B545">
        <v>22</v>
      </c>
      <c r="C545">
        <v>78</v>
      </c>
      <c r="D545">
        <v>170</v>
      </c>
      <c r="E545" t="s">
        <v>5</v>
      </c>
      <c r="F545" s="3">
        <v>362</v>
      </c>
      <c r="G545">
        <f>654-301</f>
        <v>353</v>
      </c>
      <c r="I545">
        <f>(F545-G545)/F545</f>
        <v>2.4861878453038673E-2</v>
      </c>
      <c r="J545" s="6" t="s">
        <v>13</v>
      </c>
    </row>
    <row r="546" spans="1:10" x14ac:dyDescent="0.35">
      <c r="A546">
        <v>545</v>
      </c>
      <c r="B546">
        <v>22</v>
      </c>
      <c r="C546">
        <v>78</v>
      </c>
      <c r="D546">
        <v>170</v>
      </c>
      <c r="E546" t="s">
        <v>5</v>
      </c>
      <c r="F546" s="3">
        <v>380</v>
      </c>
      <c r="G546">
        <f>2072-1717</f>
        <v>355</v>
      </c>
      <c r="I546">
        <f>(F546-G546)/F546</f>
        <v>6.5789473684210523E-2</v>
      </c>
      <c r="J546" s="6" t="s">
        <v>13</v>
      </c>
    </row>
    <row r="547" spans="1:10" x14ac:dyDescent="0.35">
      <c r="A547">
        <v>546</v>
      </c>
      <c r="B547">
        <v>22</v>
      </c>
      <c r="C547">
        <v>78</v>
      </c>
      <c r="D547">
        <v>170</v>
      </c>
      <c r="E547" t="s">
        <v>5</v>
      </c>
      <c r="F547" s="3">
        <v>413</v>
      </c>
      <c r="G547">
        <f>1158-773</f>
        <v>385</v>
      </c>
      <c r="I547">
        <f>(F547-G547)/F547</f>
        <v>6.7796610169491525E-2</v>
      </c>
      <c r="J547" s="6" t="s">
        <v>13</v>
      </c>
    </row>
    <row r="548" spans="1:10" x14ac:dyDescent="0.35">
      <c r="A548">
        <v>547</v>
      </c>
      <c r="B548">
        <v>22</v>
      </c>
      <c r="C548">
        <v>78</v>
      </c>
      <c r="D548">
        <v>170</v>
      </c>
      <c r="E548" t="s">
        <v>5</v>
      </c>
      <c r="F548" s="3">
        <v>313</v>
      </c>
      <c r="G548">
        <f>377-0</f>
        <v>377</v>
      </c>
      <c r="I548">
        <f>(F548-G548)/F548</f>
        <v>-0.20447284345047922</v>
      </c>
      <c r="J548" s="6" t="s">
        <v>13</v>
      </c>
    </row>
    <row r="549" spans="1:10" x14ac:dyDescent="0.35">
      <c r="A549">
        <v>548</v>
      </c>
      <c r="B549">
        <v>22</v>
      </c>
      <c r="C549">
        <v>78</v>
      </c>
      <c r="D549">
        <v>170</v>
      </c>
      <c r="E549" t="s">
        <v>5</v>
      </c>
      <c r="F549" s="3">
        <v>364</v>
      </c>
      <c r="G549">
        <f>934-579</f>
        <v>355</v>
      </c>
      <c r="I549">
        <f>(F549-G549)/F549</f>
        <v>2.4725274725274724E-2</v>
      </c>
      <c r="J549" s="6" t="s">
        <v>13</v>
      </c>
    </row>
    <row r="550" spans="1:10" x14ac:dyDescent="0.35">
      <c r="A550">
        <v>549</v>
      </c>
      <c r="B550">
        <v>22</v>
      </c>
      <c r="C550">
        <v>78</v>
      </c>
      <c r="D550">
        <v>170</v>
      </c>
      <c r="E550" t="s">
        <v>5</v>
      </c>
      <c r="F550" s="3">
        <v>362</v>
      </c>
      <c r="G550">
        <f>839-454</f>
        <v>385</v>
      </c>
      <c r="I550">
        <f>(F550-G550)/F550</f>
        <v>-6.3535911602209949E-2</v>
      </c>
      <c r="J550" s="6" t="s">
        <v>13</v>
      </c>
    </row>
    <row r="551" spans="1:10" x14ac:dyDescent="0.35">
      <c r="A551">
        <v>550</v>
      </c>
      <c r="B551">
        <v>22</v>
      </c>
      <c r="C551">
        <v>78</v>
      </c>
      <c r="D551">
        <v>170</v>
      </c>
      <c r="E551" t="s">
        <v>5</v>
      </c>
      <c r="F551" s="3">
        <v>380</v>
      </c>
      <c r="G551">
        <f>1672-1318</f>
        <v>354</v>
      </c>
      <c r="I551">
        <f>(F551-G551)/F551</f>
        <v>6.8421052631578952E-2</v>
      </c>
      <c r="J551" s="6" t="s">
        <v>13</v>
      </c>
    </row>
  </sheetData>
  <autoFilter ref="A1:H1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Miguel Serrano Pires</dc:creator>
  <cp:lastModifiedBy>pc</cp:lastModifiedBy>
  <dcterms:created xsi:type="dcterms:W3CDTF">2012-03-22T13:47:21Z</dcterms:created>
  <dcterms:modified xsi:type="dcterms:W3CDTF">2025-09-10T18:23:45Z</dcterms:modified>
</cp:coreProperties>
</file>